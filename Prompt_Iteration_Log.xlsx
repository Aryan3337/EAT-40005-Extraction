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mpt Iteration Log" sheetId="1" state="visible" r:id="rId3"/>
    <sheet name="Page3_Ground_Truth" sheetId="2" state="visible" r:id="rId4"/>
    <sheet name="Structural Issu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<sst xmlns="http://schemas.openxmlformats.org/spreadsheetml/2006/main" count="297" uniqueCount="184">
  <si>
    <t xml:space="preserve">Mandi/Garo KG Extraction — Prompt Iteration Log</t>
  </si>
  <si>
    <t xml:space="preserve">Page 3, garo_1.pdf (Billah 2023) — scored against the 23-triple manual ground truth. Add one row per extraction run.</t>
  </si>
  <si>
    <t xml:space="preserve">Prompt ID</t>
  </si>
  <si>
    <t xml:space="preserve">Date</t>
  </si>
  <si>
    <t xml:space="preserve">Page(s) Tested</t>
  </si>
  <si>
    <t xml:space="preserve">Prompt Summary / Change from Last Version</t>
  </si>
  <si>
    <t xml:space="preserve">Full Prompt Text</t>
  </si>
  <si>
    <t xml:space="preserve">Total Manual
Triples</t>
  </si>
  <si>
    <t xml:space="preserve">Total Extracted
(unique)</t>
  </si>
  <si>
    <t xml:space="preserve">Duplicates
Removed</t>
  </si>
  <si>
    <t xml:space="preserve">TP (Strict)</t>
  </si>
  <si>
    <t xml:space="preserve">TP (Lenient)</t>
  </si>
  <si>
    <t xml:space="preserve">Precision
(Strict)</t>
  </si>
  <si>
    <t xml:space="preserve">Recall
(Strict)</t>
  </si>
  <si>
    <t xml:space="preserve">F1
(Strict)</t>
  </si>
  <si>
    <t xml:space="preserve">Precision
(Lenient)</t>
  </si>
  <si>
    <t xml:space="preserve">Recall
(Lenient)</t>
  </si>
  <si>
    <t xml:space="preserve">F1
(Lenient)</t>
  </si>
  <si>
    <t xml:space="preserve">Failure Modes / Notes</t>
  </si>
  <si>
    <t xml:space="preserve">CSV File</t>
  </si>
  <si>
    <t xml:space="preserve">PR007 (baseline)</t>
  </si>
  <si>
    <t xml:space="preserve">2026-09-06</t>
  </si>
  <si>
    <t xml:space="preserve">Page 3</t>
  </si>
  <si>
    <t xml:space="preserve">Existing best-performing prompt (highest precision 0.548, highest overall F1 0.443 in prior full-paper benchmarks). No changes — this is the reference run for page 3.</t>
  </si>
  <si>
    <t xml:space="preserve">You are a knowledge graph extraction assistant. You will be provided with a passage from an academic research paper.
Read the passage. Identify every factual claim, relationship, practice, observation, or piece of knowledge about the Garo / Mandi community discussed in the passage.
For each meaningful piece, output a Cypher comment block in this exact format:
// PASSAGE: (Subject)-[PREDICATE]-&gt;(Object)
// SENTENCE REF: &lt;exact sentence from the paper this was drawn from&gt;
// SOURCE: &lt;paper title placeholder&gt;
Strict rules for the PASSAGE line:
- It MUST be written ONLY as (Subject)-[PREDICATE]-&gt;(Object). Never write a full sentence, paraphrase, or description on the PASSAGE line — that line is a structured triple, not prose.
- Subject and Object must be short noun phrases (1-4 words) in CamelCase with no spaces, e.g. (MandiLanguage), (GaroCommunity).
- Predicate must be UPPER_CASE_WITH_UNDERSCORES, e.g. IS_SPOKEN_BY, MAINTAINS, IS_LOCATED_IN.
- If a sentence lists multiple values for the same relationship (e.g. multiple professions, multiple locations, multiple languages), output ONE SEPARATE triple per value. Never combine multiple values into a single comma-separated Object — e.g. write (GaroCommunity)-[HAS_PROFESSION]-&gt;(Teacher) and (GaroCommunity)-[HAS_PROFESSION]-&gt;(Farmer) as two blocks, not one block with (Teacher, Farmer).
- Do not decide in advance what topics or domains to look for — extract everything factual the passage contains about the Garo/Mandi community's culture, language, history, practices, and lived experience.
- Each PASSAGE line must be traceable to a specific sentence, quoted exactly in SENTENCE REF. If you cannot find an exact sentence, do not output a block for that content at all.
Skip entirely — do not output a block for any of the following:
- Bibliographic references, author citations, journal titles, page numbers, or keyword lists.
- Descriptions of the research study itself: sample sizes, participant counts or demographics (age, gender), interview or data collection methods, data analysis or coding procedures, or any statement about what "the researchers" or "the study" did. Only extract facts about the Garo/Mandi community, never facts about how the paper studied them.
Output only the formatted comment blocks. No explanation, no prose, no extra text.
Passage:
&lt;PASSAGE TEXT INSERTED HERE&gt;
</t>
  </si>
  <si>
    <t xml:space="preserve">Mega-hub: nearly every fact pinned to GaroCommunity instead of GaroMen/GaroWomen/AttireStyles/GaroPeople/GaroEducation. Predicate duplication: WEAR vs WEAR Men's Attire vs WEAR Women's Attire re-extracts the same fact under different predicates (3 exact dupes). Missed all 5 non-attire clothing items for GaroWomen (blouses, kamij, petticoats, salwars, TraditionalCostumes), SilverJewelry, and GaroPeople-Agriculture. 17 extracted triples have no manual counterpart.</t>
  </si>
  <si>
    <t xml:space="preserve">garo_1_page3_test.csv</t>
  </si>
  <si>
    <t xml:space="preserve">PR007 (baseline, rerun)</t>
  </si>
  <si>
    <t xml:space="preserve">Fresh same-day re-run of the byte-for-byte PR007 baseline prompt via the new variant-testing harness, run alongside Variants A/B/C as a control. Logged separately from the earlier PR007 (baseline) row above because the results differ substantially — see notes.</t>
  </si>
  <si>
    <t xml:space="preserve">Mega-hub fully present: 100% of subjects are GaroCommunity/MandiCommunity - zero use of GaroMen/GaroWomen/AttireStyles/GaroEducation. Predicate duplication NOT observed this run - all attire triples consistently used a single predicate (WEAR). IMPORTANT: this is a big swing from the PR007 (baseline) row above (TP Strict 11-&gt;2, TP Lenient 16-&gt;14) despite an identical prompt and identical page - DeepSeek R1 7B is non-deterministic even at temperature 0.1, so single-run comparisons between prompt variants carry real noise; treat differences smaller than this swing cautiously. GT2 (Bengali/Mandi language influence) scored LENIENT via a subject/object-swapped, passive-voice restatement (MandiCommunity INFLUENCED_BY BengaliLanguage). 'Gando' matched GT18 exactly; a separate 'Gandu' row was left unmatched (uncertain if same word).</t>
  </si>
  <si>
    <t xml:space="preserve">garo_1_page3_variantbaseline.csv</t>
  </si>
  <si>
    <t xml:space="preserve">PR007-VariantA</t>
  </si>
  <si>
    <t xml:space="preserve">ONE change vs PR007 baseline: added an instruction to always use the most specific available subject entity (e.g. GaroMen, GaroWomen) instead of defaulting to GaroCommunity/MandiCommunity.</t>
  </si>
  <si>
    <t xml:space="preserve">You are a knowledge graph extraction assistant. You will be provided with a passage from an academic research paper.
Read the passage. Identify every factual claim, relationship, practice, observation, or piece of knowledge about the Garo / Mandi community discussed in the passage.
For each meaningful piece, output a Cypher comment block in this exact format:
// PASSAGE: (Subject)-[PREDICATE]-&gt;(Object)
// SENTENCE REF: &lt;exact sentence from the paper this was drawn from&gt;
// SOURCE: &lt;paper title placeholder&gt;
Strict rules for the PASSAGE line:
- It MUST be written ONLY as (Subject)-[PREDICATE]-&gt;(Object). Never write a full sentence, paraphrase, or description on the PASSAGE line — that line is a structured triple, not prose.
- Subject and Object must be short noun phrases (1-4 words) in CamelCase with no spaces, e.g. (MandiLanguage), (GaroCommunity).
- Always use the MOST SPECIFIC subject entity available in the sentence. If the sentence is about a specific subgroup, item, or role (e.g. GaroMen, GaroWomen, AttireStyles, GaroEducation), use that specific entity as the Subject — do not default to a broad community-level noun like GaroCommunity or MandiCommunity when a more specific one is stated or clearly implied.
- Predicate must be UPPER_CASE_WITH_UNDERSCORES, e.g. IS_SPOKEN_BY, MAINTAINS, IS_LOCATED_IN.
- If a sentence lists multiple values for the same relationship (e.g. multiple professions, multiple locations, multiple languages), output ONE SEPARATE triple per value. Never combine multiple values into a single comma-separated Object — e.g. write (GaroCommunity)-[HAS_PROFESSION]-&gt;(Teacher) and (GaroCommunity)-[HAS_PROFESSION]-&gt;(Farmer) as two blocks, not one block with (Teacher, Farmer).
- Do not decide in advance what topics or domains to look for — extract everything factual the passage contains about the Garo/Mandi community's culture, language, history, practices, and lived experience.
- Each PASSAGE line must be traceable to a specific sentence, quoted exactly in SENTENCE REF. If you cannot find an exact sentence, do not output a block for that content at all.
Skip entirely — do not output a block for any of the following:
- Bibliographic references, author citations, journal titles, page numbers, or keyword lists.
- Descriptions of the research study itself: sample sizes, participant counts or demographics (age, gender), interview or data collection methods, data analysis or coding procedures, or any statement about what "the researchers" or "the study" did. Only extract facts about the Garo/Mandi community, never facts about how the paper studied them.
Output only the formatted comment blocks. No explanation, no prose, no extra text.
Passage:
&lt;PASSAGE TEXT INSERTED HERE&gt;
</t>
  </si>
  <si>
    <t xml:space="preserve">Mega-hub PARTIALLY improved: 6/28 rows (21%) correctly used GaroMen/GaroWomen as subject - up from 0% in both baseline runs - covering Lungis/Genjis/Trousers/Shirts (men) and Orna/Sarees (women), all scored STRICT. But the fix didn't replace the old pattern, it ran alongside it: the same facts were ALSO re-extracted under GaroCommunity in parallel rows (e.g. both 'GaroMen HAS_A Lungis' and 'GaroCommunity WEAR Lungi' appear). New side-effect not seen in either baseline run: 6/28 rows (21%) violated the pipeline's 'one triple per value' rule, bundling multiple correct attire items into one comma-separated object (e.g. 'GaroCommunity WEAR (Sarees, Blouses, Kamij, Petticoats, Salwars)') - these still earned lenient credit for the correct embedded items, but it's a real format regression. Predicate duplication: not eliminated, just recast along the new subject split (HAS_A for the correctly-specific rows, WEAR for the broad-hub duplicate rows = 2 variants for the same relation). One UNKNOWN placeholder appeared (parse_ollama_blocks format-mismatch bug).</t>
  </si>
  <si>
    <t xml:space="preserve">garo_1_page3_variantA.csv</t>
  </si>
  <si>
    <t xml:space="preserve">PR007-VariantB</t>
  </si>
  <si>
    <t xml:space="preserve">ONE change vs PR007 baseline: added an instruction to reuse a single consistent predicate per relationship type (e.g. always WEARS) and to avoid re-extracting the same subject-object pair under a different predicate.</t>
  </si>
  <si>
    <t xml:space="preserve">You are a knowledge graph extraction assistant. You will be provided with a passage from an academic research paper.
Read the passage. Identify every factual claim, relationship, practice, observation, or piece of knowledge about the Garo / Mandi community discussed in the passage.
For each meaningful piece, output a Cypher comment block in this exact format:
// PASSAGE: (Subject)-[PREDICATE]-&gt;(Object)
// SENTENCE REF: &lt;exact sentence from the paper this was drawn from&gt;
// SOURCE: &lt;paper title placeholder&gt;
Strict rules for the PASSAGE line:
- It MUST be written ONLY as (Subject)-[PREDICATE]-&gt;(Object). Never write a full sentence, paraphrase, or description on the PASSAGE line — that line is a structured triple, not prose.
- Subject and Object must be short noun phrases (1-4 words) in CamelCase with no spaces, e.g. (MandiLanguage), (GaroCommunity).
- Predicate must be UPPER_CASE_WITH_UNDERSCORES, e.g. IS_SPOKEN_BY, MAINTAINS, IS_LOCATED_IN.
- Reuse a single consistent predicate for a given relationship type across the whole passage (e.g. always WEARS for clothing — never invent variants like WEAR_MENS_ATTIRE or WEAR_WOMENS_ATTIRE for the same relationship). Before outputting a block, check whether the same Subject-Object pair or fact has already been extracted under a different predicate wording in this passage; if so, do not extract it again.
- If a sentence lists multiple values for the same relationship (e.g. multiple professions, multiple locations, multiple languages), output ONE SEPARATE triple per value. Never combine multiple values into a single comma-separated Object — e.g. write (GaroCommunity)-[HAS_PROFESSION]-&gt;(Teacher) and (GaroCommunity)-[HAS_PROFESSION]-&gt;(Farmer) as two blocks, not one block with (Teacher, Farmer).
- Do not decide in advance what topics or domains to look for — extract everything factual the passage contains about the Garo/Mandi community's culture, language, history, practices, and lived experience.
- Each PASSAGE line must be traceable to a specific sentence, quoted exactly in SENTENCE REF. If you cannot find an exact sentence, do not output a block for that content at all.
Skip entirely — do not output a block for any of the following:
- Bibliographic references, author citations, journal titles, page numbers, or keyword lists.
- Descriptions of the research study itself: sample sizes, participant counts or demographics (age, gender), interview or data collection methods, data analysis or coding procedures, or any statement about what "the researchers" or "the study" did. Only extract facts about the Garo/Mandi community, never facts about how the paper studied them.
Output only the formatted comment blocks. No explanation, no prose, no extra text.
Passage:
&lt;PASSAGE TEXT INSERTED HERE&gt;
</t>
  </si>
  <si>
    <r>
      <rPr>
        <sz val="10"/>
        <rFont val="Arial"/>
        <family val="0"/>
        <charset val="1"/>
      </rPr>
      <t xml:space="preserve">Predicate duplication got WORSE, not better - the exact anti-pattern this instruction targeted: 4 distinct predicate spellings used for the identical clothing-wearing relation in one run (WEAR, WEARS, WEARED_BEFORE, WEARED), with Trousers/Shirts/Lungis/SilverJewelry each re-extracted under two different predicates. Mega-hub: completely UNIMPROVED - 0/38 rows used GaroMen/GaroWomen/AttireStyles as subject (expected, this variant didn't target subject specificity). Highest raw extraction volume of all 4 runs (38) but lowest strict TP (1) - most of that volume is the same small set of facts repeated under different predicates and the recurring GaroCommunity mega-hub subject. Also produced noise not seen in other runs: one row contains garbled non-English text ('SHY_ABOUT</t>
    </r>
    <r>
      <rPr>
        <sz val="10"/>
        <rFont val="Noto Sans CJK SC"/>
        <family val="2"/>
      </rPr>
      <t xml:space="preserve">详细信息</t>
    </r>
    <r>
      <rPr>
        <sz val="10"/>
        <rFont val="Arial"/>
        <family val="0"/>
        <charset val="1"/>
      </rPr>
      <t xml:space="preserve">'), and the Bengali/Mandi-language-influence row reads as the correct direction with a broadened object (Mandi_Community vs MandiLanguage) - scored LENIENT.</t>
    </r>
  </si>
  <si>
    <t xml:space="preserve">garo_1_page3_variantB.csv</t>
  </si>
  <si>
    <t xml:space="preserve">PR007-VariantC</t>
  </si>
  <si>
    <t xml:space="preserve">Variant A + Variant B combined: most-specific-subject instruction AND single-consistent-predicate/no-duplicate-pair instruction together, vs PR007 baseline.</t>
  </si>
  <si>
    <t xml:space="preserve">You are a knowledge graph extraction assistant. You will be provided with a passage from an academic research paper.
Read the passage. Identify every factual claim, relationship, practice, observation, or piece of knowledge about the Garo / Mandi community discussed in the passage.
For each meaningful piece, output a Cypher comment block in this exact format:
// PASSAGE: (Subject)-[PREDICATE]-&gt;(Object)
// SENTENCE REF: &lt;exact sentence from the paper this was drawn from&gt;
// SOURCE: &lt;paper title placeholder&gt;
Strict rules for the PASSAGE line:
- It MUST be written ONLY as (Subject)-[PREDICATE]-&gt;(Object). Never write a full sentence, paraphrase, or description on the PASSAGE line — that line is a structured triple, not prose.
- Subject and Object must be short noun phrases (1-4 words) in CamelCase with no spaces, e.g. (MandiLanguage), (GaroCommunity).
- Always use the MOST SPECIFIC subject entity available in the sentence. If the sentence is about a specific subgroup, item, or role (e.g. GaroMen, GaroWomen, AttireStyles, GaroEducation), use that specific entity as the Subject — do not default to a broad community-level noun like GaroCommunity or MandiCommunity when a more specific one is stated or clearly implied.
- Predicate must be UPPER_CASE_WITH_UNDERSCORES, e.g. IS_SPOKEN_BY, MAINTAINS, IS_LOCATED_IN.
- Reuse a single consistent predicate for a given relationship type across the whole passage (e.g. always WEARS for clothing — never invent variants like WEAR_MENS_ATTIRE or WEAR_WOMENS_ATTIRE for the same relationship). Before outputting a block, check whether the same Subject-Object pair or fact has already been extracted under a different predicate wording in this passage; if so, do not extract it again.
- If a sentence lists multiple values for the same relationship (e.g. multiple professions, multiple locations, multiple languages), output ONE SEPARATE triple per value. Never combine multiple values into a single comma-separated Object — e.g. write (GaroCommunity)-[HAS_PROFESSION]-&gt;(Teacher) and (GaroCommunity)-[HAS_PROFESSION]-&gt;(Farmer) as two blocks, not one block with (Teacher, Farmer).
- Do not decide in advance what topics or domains to look for — extract everything factual the passage contains about the Garo/Mandi community's culture, language, history, practices, and lived experience.
- Each PASSAGE line must be traceable to a specific sentence, quoted exactly in SENTENCE REF. If you cannot find an exact sentence, do not output a block for that content at all.
Skip entirely — do not output a block for any of the following:
- Bibliographic references, author citations, journal titles, page numbers, or keyword lists.
- Descriptions of the research study itself: sample sizes, participant counts or demographics (age, gender), interview or data collection methods, data analysis or coding procedures, or any statement about what "the researchers" or "the study" did. Only extract facts about the Garo/Mandi community, never facts about how the paper studied them.
Output only the formatted comment blocks. No explanation, no prose, no extra text.
Passage:
&lt;PASSAGE TEXT INSERTED HERE&gt;
</t>
  </si>
  <si>
    <t xml:space="preserve">Best result of the 4 runs on correctness: mega-hub substantially reduced - 14/23 rows (61%) correctly used GaroMen/GaroWomen as subject, vs 21% in Variant A alone and 0% in both baseline runs and Variant B. Predicate duplication effectively eliminated: all 23 rows used a single consistent predicate (WEARS), the cleanest of all 4 runs (vs 2 variants in A, 4 in B). Trade-off: lowest coverage of the 4 - missed Genjis, orna, blouses, and SilverJewelry entirely, missed all 5 non-attire facts (subtribe naming, agriculture, illiteracy, family planning) and all 6 vague 'AttireStyles includes X' items, so unlike the other 3 runs there's no broad-hub padding: TP Lenient = TP Strict (8) exactly, nothing scored as a partial/wrong-subject match. One Mandi/Bengali-influence row reads as directionally reversed (Mandi influencing Bengali, the wrong way round) and was scored as no match rather than lenient, since it asserts the wrong fact rather than just a broader entity.</t>
  </si>
  <si>
    <t xml:space="preserve">garo_1_page3_variantC.csv</t>
  </si>
  <si>
    <t xml:space="preserve">PR007 (baseline, rerun 2)</t>
  </si>
  <si>
    <t xml:space="preserve">2026-09-07</t>
  </si>
  <si>
    <t xml:space="preserve">Second same-day-following re-run of the byte-for-byte PR007 baseline, to check how much a single run's numbers swing. See notes - it swung again.</t>
  </si>
  <si>
    <t xml:space="preserve">TP Strict landed at 2 again (same as rerun 1) but TP Lenient dropped to 10 (from 14) - fewer attire items appeared at all this run (no orna/blouses/TraditionalCostumes/Gando this time). Mega-hub: 100% GaroCommunity subjects again, unchanged. Predicate duplication: still just one predicate (WEAR) for all attire, but the SAME underlying illiteracy fact was independently re-extracted twice under two different predicate/object phrasings (ARE_ILLITERATE:Many and LITERACY_LEVEL:Low) - a fact-level duplicate the pipeline's exact-string dedup can't catch. 'Respondents' leaked as a subject again (ARE_LITERATE -&gt; Most Respondents) - 3rd run in a row this specific leak has shown up, across every variant tested so far, confirming it needs a fix independent of which attire/subject instruction is used.</t>
  </si>
  <si>
    <t xml:space="preserve">garo_1_page3_variantbaseline.csv (rerun 2, overwrote prior file)</t>
  </si>
  <si>
    <t xml:space="preserve">PR007-VariantA (rerun 2)</t>
  </si>
  <si>
    <t xml:space="preserve">Second run of Variant A (most-specific-subject instruction only), same prompt as the first VariantA row.</t>
  </si>
  <si>
    <t xml:space="preserve">Big swing from run 1: mega-hub fix did NOT show up at all this run - 0/36 rows used GaroMen/GaroWomen (vs 21% in run 1), every subject is GaroCommunity/MandiCommunity again. TP Strict dropped to 2 (from 6) as a direct result. On the upside, this run's lenient score benefited from something new: it correctly pulled all 6 of the vague 'AttireStyles includes X' ground-truth items (Gando, Katib, Salchak, Marang, Unpon, Riking) that no run had fully captured before - all scored LENIENT since the subject was GaroCommunity rather than AttireStyles, but the objects were exact matches. Predicate stayed consistent (single WEAR for all attire, no duplication this run). Net: this run shows the subject-specificity gain from run 1 is not reliable turn-to-turn even with an identical prompt - reinforces treating Variant A's run-1 result as promising rather than proven.</t>
  </si>
  <si>
    <t xml:space="preserve">garo_1_page3_variantA.csv (rerun 2, overwrote prior file)</t>
  </si>
  <si>
    <t xml:space="preserve">PR007-VariantB (rerun 2)</t>
  </si>
  <si>
    <t xml:space="preserve">Second run of Variant B (single-consistent-predicate instruction only), same prompt as the first VariantB row.</t>
  </si>
  <si>
    <t xml:space="preserve">Confirms run 1's finding, not a fluke: predicate duplication again got worse, not better - 4 distinct predicate forms for the wearing-relationship in one run (a malformed 'HAS_ARE}-ATTIRE', plus WEARS, WEARED_DURING, WEARED_IN), with several items (Trousers, Shirts, Lungis) re-extracted under 2 of them. Mega-hub unimproved again - 0/35 rows used GaroMen/GaroWomen (one row used 'WealthyWomen' as subject for gold ornaments, an interesting one-off specific-subject attempt, but the object isn't a ground-truth item so it doesn't register either way). TP Strict = 0 this run - worst of all 8 rows logged so far. Both known leaks (a literal 'RESPONDENTS' predicate, and a 'Demographic information / study aim' triple) showed up again.</t>
  </si>
  <si>
    <t xml:space="preserve">garo_1_page3_variantB.csv (rerun 2, overwrote prior file)</t>
  </si>
  <si>
    <t xml:space="preserve">PR007-VariantC (rerun 2)</t>
  </si>
  <si>
    <t xml:space="preserve">Second run of Variant C (A+B combined), same prompt as the first VariantC row.</t>
  </si>
  <si>
    <t xml:space="preserve">Still the best run on strict correctness (TP Strict 7, more than 3x the next-best row this run), but the mega-hub fix was weaker than run 1: only 6/39 rows (15%) used GaroMen/GaroWomen as subject, down from 61% in run 1 - still better than every other prompt tested (which stayed at 0%), just less dramatic. Predicate consistency also partially regressed: 2 predicates this run (IS_WORN_BY for the specific-subject rows, WEARS for the rest) vs a single clean predicate in run 1 - though IS_WORN_BY is grammatically backwards (reads as 'GaroMen is worn by Lungis'), I scored it as a same-fact predicate-direction slip rather than a wrong fact, since the entities involved only support one sensible real-world relationship. This run also captured GT1 (the Garo/Granching subtribe naming fact) for the first time across any run, scored LENIENT. Both known leaks showed up again ('Demographic information/study aim' and a 'Respondents' subject) - confirms this is independent of the subject/predicate instructions and needs its own fix. Across both runs, Variant C is the only prompt to win TP Strict both times (8, then 7) - the most consistent signal in the whole log so far, even though the exact mega-hub/predicate-consistency gains varied a lot run to run.</t>
  </si>
  <si>
    <t xml:space="preserve">garo_1_page3_variantC.csv (rerun 2, overwrote prior file)</t>
  </si>
  <si>
    <t xml:space="preserve">PR007 (baseline, rerun 3)</t>
  </si>
  <si>
    <t xml:space="preserve">Third same-day run of the byte-for-byte PR007 baseline prompt, alongside Variants A/B/C rerun 3.</t>
  </si>
  <si>
    <t xml:space="preserve">TP Strict held at 2 for the third run in a row (matches both reruns), but TP Lenient rose to 14 (from 10 in rerun 2, close to rerun 1's 16) - GaroCommunity picked up most of the attire list again via the malformed 'WE WEAR' predicate, just under a wrong (community-level) subject each time. Mega-hub: 100% GaroCommunity subjects again, unchanged across all three baseline runs - this prompt has never once produced a GaroMen/GaroWomen subject. Predicate duplication persists in a new form: this run independently extracted overlapping illiteracy-adjacent facts under two different predicates (HAS_LiteracyRate:LowLiteracy and HAS_DemographicBackground:Illiterate) - a fact-level duplicate the exact-string dedup can't catch, same pattern as rerun 2. The 'Respondents' subject leak showed up again (HESITANT IN PROVIDING DETAILS ABOUT -&gt; FamilyStructure/Age) - 4th run in a row this exact leak has appeared, confirming again it's independent of any variant tested. A spelling variant 'Gandu' for ground-truth 'Gando' appeared again (3rd time) - left unmatched per the established spelling-variant policy.</t>
  </si>
  <si>
    <t xml:space="preserve">garo_1_page3_variantbaseline.csv (rerun 3, overwrote prior file)</t>
  </si>
  <si>
    <t xml:space="preserve">PR007-VariantA (rerun 3)</t>
  </si>
  <si>
    <t xml:space="preserve">Third run of Variant A (specific-subject instruction), same prompt as the first two VariantA rows.</t>
  </si>
  <si>
    <t xml:space="preserve">Mega-hub partially recovered: 5/27 rows (18.5%) used GaroMen as subject, back in range with run 1 (21%) after cratering to 0% in rerun 2 - reinforces that this instruction's effect is unstable run-to-run rather than reliably present or absent. TP Strict rose to 4 (from 2 in rerun 2, 6 in run 1) on the strength of 4 clean GaroMen-WEARS matches (Lungis, Genjis, Trousers, Shirts). Also captured GT1 (the Garo naming fact) for the first time by this variant - scored LENIENT since the subject was 'GaroPeople' rather than ground truth's 'GaroSubtribe', but predicate+object matched cleanly. New failure mode this run: the study-methodology leak has evolved past a literal 'Respondents' subject - it now shows up as 'COLLECTED_DEMOGRAPHIC_INFORMATION' and six separate 'ASKED_ABOUT_X' triples (family size/structure/age/education/occupation/family planning), none of which contain the literal word 'respondents' or 'participants'. This matters directly for improvement #1: a keyword-based post-filter targeting those two words would NOT catch this leak pattern - it needs to also flag predicates describing what was asked/collected/measured. Also hit the known UNKNOWN-UNKNOWN-UNKNOWN parser placeholder once (0.3 confidence) - the parse_ollama_blocks() bug is still live. One reversed-direction fact: 'MandiCommunity INFLUENCED_LANGUAGE BengaliLanguage' states the influence backwards (ground truth is Bengali -&gt; Mandi, not Mandi -&gt; Bengali) - scored NOT-A-MATCH rather than lenient, since this flips which language is claimed dominant, a substantive error rather than a wording difference. Flagging as a new edge case not covered by the existing wrong-subject/predicate-direction-slip policies - let me know if you'd rather this be scored differently going forward.</t>
  </si>
  <si>
    <t xml:space="preserve">garo_1_page3_variantA.csv (rerun 3, overwrote prior file)</t>
  </si>
  <si>
    <t xml:space="preserve">PR007-VariantB (rerun 3)</t>
  </si>
  <si>
    <t xml:space="preserve">Third run of Variant B (consistent-predicate instruction), same prompt as the first two VariantB rows.</t>
  </si>
  <si>
    <t xml:space="preserve">Best TP Strict result for this variant so far (1, vs 0 in both previous rounds) - GaroCommunity-ISCO_YIELDED-agriculture credited toward GT3 under the existing GaroCommunity=GaroPeople equivalence rule, though flagging this one as genuinely ambiguous: 'ISCO' (International Standard Classification of Occupations) is very likely a leak of study jargon rather than a clean fact statement, so this may be the methodology leak wearing a different mask rather than a real improvement - let me know if you'd rather this NOT count toward TP Strict. Predicate duplication is still this variant's core problem across all three rounds: this run has THREE different predicates for the same wearing-relationship (a malformed 'HAS_ARE' bundling multiple values per the malformed-row credit policy, plus 'WEAR' and 'WEARS'), with 6 attire items re-extracted 2-3 times each. Mega-hub unimproved - 0/38 rows used GaroMen/GaroWomen, 3rd straight run at 0%. TP Lenient jumped to 14 (from 12) mostly because this run captured GT17 (SilverJewelry) for the first time by any variant, plus the full attire list via the bundled/duplicated WEAR(S) rows. The 'Respondents' leak appeared again (DO_NOT_KNOW_ORIGIN, KNOWN ORIGIN x2) - persists across every run of every variant tested so far.</t>
  </si>
  <si>
    <t xml:space="preserve">garo_1_page3_variantB.csv (rerun 3, overwrote prior file)</t>
  </si>
  <si>
    <t xml:space="preserve">PR007-VariantC (rerun 3)</t>
  </si>
  <si>
    <t xml:space="preserve">Third run of Variant C (A+B combined), same prompt as the first two VariantC rows.</t>
  </si>
  <si>
    <t xml:space="preserve">Best run in the whole log by a wide margin: TP Strict jumped to 13 (from 8 in run 1, 7 in run 2) - nearly double any run of any variant tested. Mega-hub also recovered strongly: 15/43 rows (35%) used GaroMen/GaroWomen as subject, between run 1's 61% and run 2's 15% - and for the first time, almost every attire fact extracted got its GaroMen/GaroWomen subject right (Lungis, Genjis, Trousers, Shirts under GaroMen; Sarees, Blouses, Kamij, Petticoats, Salwars, Orna, SilverJewelry under GaroWomen), which is what pushed 8 previously-lenient-only matches up to strict. Predicate consistency was also clean this run - a single 'WEARS' predicate for every attire triple, no duplication (vs 2 predicates in run 2). Also strict-matched GT17 (SilverJewelry) for the first time in the whole log. Notably, the literal 'Respondents' subject leak did NOT appear in this run (a first, across every variant/round tested) - though softer methodology-adjacent leaks are still present ('HAVE-demographic information' x3, 'IS_VULNERABLE:Yes'). One fact credited STRICT for GT4 via the GaroCommunity=GaroPeople equivalence rule: 'IS_LITERATE: No' (a boolean-style object) rather than a noun like 'Illiteracy' - same underlying fact, unusual format; flagging in case you'd rather this be LENIENT only. Across all 3 rounds Variant C remains the only prompt to win TP Strict every single time (8, 7, 13) - now by an even larger margin than before.</t>
  </si>
  <si>
    <t xml:space="preserve">garo_1_page3_variantC.csv (rerun 3, overwrote prior file)</t>
  </si>
  <si>
    <t xml:space="preserve">PR007 (baseline, round 4 - refined)</t>
  </si>
  <si>
    <t xml:space="preserve">Refined baseline (round 4): added explicit predicate-format bad/good examples, anti-reasoning/no-&lt;think&gt; instruction, and a generalized (pattern-level, not keyword-level) methodology-leak skip-list. No subject-specificity or predicate-consistency instruction added -- stays the 'no isolated variable' control.</t>
  </si>
  <si>
    <t xml:space="preserve">You are a knowledge graph extraction assistant. You will be provided with a passage from an academic research paper.
Read the passage. Identify every factual claim, relationship, practice, belief, observation, or piece of knowledge about the Garo / Mandi community discussed in the passage. This passage may come from any part of the paper -- introduction, demographics, attire, food, religion, festivals, health, household life, occupation, or any other section -- so do not assume in advance which topic it covers.
Output your answer immediately as a sequence of Cypher comment blocks. Do not include any reasoning, planning, or &lt;think&gt; content, and do not write anything before the first block -- your entire response must consist only of comment blocks in this exact format:
// PASSAGE: (Subject)-[PREDICATE]-&gt;(Object)
// SENTENCE REF: &lt;exact sentence from the paper this was drawn from&gt;
// SOURCE: &lt;paper title placeholder&gt;
Strict rules for the PASSAGE line:
- It MUST be written ONLY as (Subject)-[PREDICATE]-&gt;(Object). Never write a full sentence, paraphrase, or description on the PASSAGE line -- that line is a structured triple, not prose.
- Subject and Object must be short noun phrases (1-4 words) in CamelCase with no spaces, e.g. (MandiLanguage), (GaroCommunity).
- Predicate must be UPPER_CASE_WITH_UNDERSCORES ONLY -- no lowercase letters, no spaces, no mixed case. For example, write IS_USED_IN, never "IS USED IN"; write WEARS, never "WE WEAR"; write HAS_FAMILY_STRUCTURE, never "HAS_FamilyStructure". A predicate containing a space or a lowercase word is always wrong -- rewrite it before outputting the block.
- If a sentence lists multiple values for the same relationship (e.g. multiple professions, locations, languages, foods, or beliefs), output ONE SEPARATE triple per value. Never combine multiple values into a single comma-separated Object -- e.g. write (GaroCommunity)-[HAS_PROFESSION]-&gt;(Teacher) and (GaroCommunity)-[HAS_PROFESSION]-&gt;(Farmer) as two blocks, not one block with (Teacher, Farmer). If you decide not to extract something because it is a duplicate, simply skip it -- never bundle it into another block instead.
- Do not decide in advance what topics or domains to look for -- extract everything factual the passage contains about the Garo/Mandi community's culture, language, history, beliefs, practices, and lived experience, whatever section of the paper it comes from.
- Each PASSAGE line must be traceable to a specific sentence, quoted exactly in SENTENCE REF. If you cannot find an exact sentence, do not output a block for that content at all.
Skip entirely -- do not output a block for any of the following:
- Bibliographic references, author citations, journal titles, page numbers, or keyword lists.
- Anything describing the research process itself rather than the community: sample sizes, participant/respondent counts or demographics, what participants or respondents were asked, told, or observed to say, how they were classified or coded (e.g. classification schemes, occupational codes), interview or data collection methods, data analysis procedures, or any subjective assessment the researchers made about participants (e.g. calling them vulnerable, hesitant, willing, or reluctant). "Respondents" or "participants" must never appear as a Subject or Object. Only extract facts about the Garo/Mandi community itself, never facts about how the paper studied them or who was surveyed.
Output only the formatted comment blocks. No explanation, no prose, no extra text, and nothing before the first "// PASSAGE:" line.
Passage:
&lt;PASSAGE TEXT INSERTED HERE&gt;
</t>
  </si>
  <si>
    <t xml:space="preserve">Zero UNKNOWN placeholders this run (anti-reasoning fix working) -- a clean win. But format-compliance is still imperfect despite the explicit bad/good examples: 'KNOW_SPECIFIC ORIGINS', 'STUDY AIM', 'HAS_Fact About' all still have spaces/mixed case. More importantly, the generalized leak-skip-list was partially circumvented: the model moved 'Respondents' into the PREDICATE slot instead of Subject/Object (a literal loophole in the rule's wording, which only banned those 2 positions), and 'Vulnerable_Population' -- the exact subjective-assessment pattern the new rule named as an example -- still appeared as an object. TP Strict/Lenient (2/14) are essentially unchanged from rounds 1-3 (expected, since baseline intentionally got no isolated-variable fix) -- the round-4 changes here were pure bug fixes.</t>
  </si>
  <si>
    <t xml:space="preserve">garo_1_page3_variantbaseline.csv (round 4, refined prompt, overwrote prior file)</t>
  </si>
  <si>
    <t xml:space="preserve">PR007-VariantA (round 4 - refined)</t>
  </si>
  <si>
    <t xml:space="preserve">Refined Variant A (round 4): same baseline fixes, plus the specificity instruction was rewritten from 'always prefer specific, avoid GaroCommunity' to 'match the subject to what the sentence itself supports' -- based on the manual ground truth showing GaroPeople/GaroCommunity is correct 61% of the time paper-wide.</t>
  </si>
  <si>
    <t xml:space="preserve">You are a knowledge graph extraction assistant. You will be provided with a passage from an academic research paper.
Read the passage. Identify every factual claim, relationship, practice, belief, observation, or piece of knowledge about the Garo / Mandi community discussed in the passage. This passage may come from any part of the paper -- introduction, demographics, attire, food, religion, festivals, health, household life, occupation, or any other section -- so do not assume in advance which topic it covers.
Output your answer immediately as a sequence of Cypher comment blocks. Do not include any reasoning, planning, or &lt;think&gt; content, and do not write anything before the first block -- your entire response must consist only of comment blocks in this exact format:
// PASSAGE: (Subject)-[PREDICATE]-&gt;(Object)
// SENTENCE REF: &lt;exact sentence from the paper this was drawn from&gt;
// SOURCE: &lt;paper title placeholder&gt;
Strict rules for the PASSAGE line:
- It MUST be written ONLY as (Subject)-[PREDICATE]-&gt;(Object). Never write a full sentence, paraphrase, or description on the PASSAGE line -- that line is a structured triple, not prose.
- Subject and Object must be short noun phrases (1-4 words) in CamelCase with no spaces, e.g. (MandiLanguage), (GaroCommunity).
- Predicate must be UPPER_CASE_WITH_UNDERSCORES ONLY -- no lowercase letters, no spaces, no mixed case. For example, write IS_USED_IN, never "IS USED IN"; write WEARS, never "WE WEAR"; write HAS_FAMILY_STRUCTURE, never "HAS_FamilyStructure". A predicate containing a space or a lowercase word is always wrong -- rewrite it before outputting the block.
- Choose the Subject at the level of specificity the sentence itself actually supports -- neither more nor less. If the sentence names a specific subgroup, item, individual, organization, ritual, or role, use that specific entity as the Subject. If the sentence instead makes a general statement about the community as a whole, GaroPeople or GaroCommunity IS the correct Subject -- do not force a narrower entity onto a general statement, and do not default to a broad community-level noun when the sentence clearly names something narrower.
- If a sentence lists multiple values for the same relationship (e.g. multiple professions, locations, languages, foods, or beliefs), output ONE SEPARATE triple per value. Never combine multiple values into a single comma-separated Object -- e.g. write (GaroCommunity)-[HAS_PROFESSION]-&gt;(Teacher) and (GaroCommunity)-[HAS_PROFESSION]-&gt;(Farmer) as two blocks, not one block with (Teacher, Farmer). If you decide not to extract something because it is a duplicate, simply skip it -- never bundle it into another block instead.
- Do not decide in advance what topics or domains to look for -- extract everything factual the passage contains about the Garo/Mandi community's culture, language, history, beliefs, practices, and lived experience, whatever section of the paper it comes from.
- Each PASSAGE line must be traceable to a specific sentence, quoted exactly in SENTENCE REF. If you cannot find an exact sentence, do not output a block for that content at all.
Skip entirely -- do not output a block for any of the following:
- Bibliographic references, author citations, journal titles, page numbers, or keyword lists.
- Anything describing the research process itself rather than the community: sample sizes, participant/respondent counts or demographics, what participants or respondents were asked, told, or observed to say, how they were classified or coded (e.g. classification schemes, occupational codes), interview or data collection methods, data analysis procedures, or any subjective assessment the researchers made about participants (e.g. calling them vulnerable, hesitant, willing, or reluctant). "Respondents" or "participants" must never appear as a Subject or Object. Only extract facts about the Garo/Mandi community itself, never facts about how the paper studied them or who was surveyed.
Output only the formatted comment blocks. No explanation, no prose, no extra text, and nothing before the first "// PASSAGE:" line.
Passage:
&lt;PASSAGE TEXT INSERTED HERE&gt;
</t>
  </si>
  <si>
    <t xml:space="preserve">Best-ever result for this variant across all 4 rounds (previous best TP Strict was 6 in round 1; this run hit 8). 11/39 rows (28%) used GaroMen/GaroWomen as subject, and almost all of them landed on real ground-truth items (Sarees, Blouses, Kamij, Petticoats, Salwars, TraditionalCostume, SilverJewelry under GaroWomen; Shirts under GaroMen) -- pushing 5 previously lenient-only matches up to strict, including SilverJewelry (GT17) for the first time by this variant. The refined wording seems to be a genuine improvement over the old blanket instruction. Still hit the 'Respondents' leak 4 times as a literal Subject (SHY, UNKNOWN family size/structure/age) -- the rule change didn't stop it here.</t>
  </si>
  <si>
    <t xml:space="preserve">garo_1_page3_variantA.csv (round 4, refined prompt, overwrote prior file)</t>
  </si>
  <si>
    <t xml:space="preserve">PR007-VariantB (round 4 - refined)</t>
  </si>
  <si>
    <t xml:space="preserve">Refined Variant B (round 4): same baseline fixes, plus the predicate-consistency instruction was rewritten from 'check if this Subject-Object pair was already extracted' (pair-level) to 'use exactly ONE predicate name per relationship TYPE regardless of subject/object' (type-level) -- based on round 3 showing 3 different predicates for the same wearing-relationship across DIFFERENT subject/object pairs, which the old pair-level check couldn't catch.</t>
  </si>
  <si>
    <t xml:space="preserve">You are a knowledge graph extraction assistant. You will be provided with a passage from an academic research paper.
Read the passage. Identify every factual claim, relationship, practice, belief, observation, or piece of knowledge about the Garo / Mandi community discussed in the passage. This passage may come from any part of the paper -- introduction, demographics, attire, food, religion, festivals, health, household life, occupation, or any other section -- so do not assume in advance which topic it covers.
Output your answer immediately as a sequence of Cypher comment blocks. Do not include any reasoning, planning, or &lt;think&gt; content, and do not write anything before the first block -- your entire response must consist only of comment blocks in this exact format:
// PASSAGE: (Subject)-[PREDICATE]-&gt;(Object)
// SENTENCE REF: &lt;exact sentence from the paper this was drawn from&gt;
// SOURCE: &lt;paper title placeholder&gt;
Strict rules for the PASSAGE line:
- It MUST be written ONLY as (Subject)-[PREDICATE]-&gt;(Object). Never write a full sentence, paraphrase, or description on the PASSAGE line -- that line is a structured triple, not prose.
- Subject and Object must be short noun phrases (1-4 words) in CamelCase with no spaces, e.g. (MandiLanguage), (GaroCommunity).
- Predicate must be UPPER_CASE_WITH_UNDERSCORES ONLY -- no lowercase letters, no spaces, no mixed case. For example, write IS_USED_IN, never "IS USED IN"; write WEARS, never "WE WEAR"; write HAS_FAMILY_STRUCTURE, never "HAS_FamilyStructure". A predicate containing a space or a lowercase word is always wrong -- rewrite it before outputting the block.
- Identify the underlying relationship TYPE each fact expresses (e.g. wearing an item of clothing, practicing a belief, migrating from a place, working in an occupation) and use exactly ONE predicate name for that type everywhere it appears in this passage, regardless of which specific subject or object is involved -- e.g. if you extract (GaroMen)-[WEARS]-&gt;(Lungis), also use WEARS for (GaroWomen)-[WEARS]-&gt;(Sarees), never a different word like WEAR or WORE for the same relationship type elsewhere in this passage. Before outputting a block, check whether this relationship type already has a predicate name used earlier in this passage; if so, reuse it exactly rather than inventing a new one.
- If a sentence lists multiple values for the same relationship (e.g. multiple professions, locations, languages, foods, or beliefs), output ONE SEPARATE triple per value. Never combine multiple values into a single comma-separated Object -- e.g. write (GaroCommunity)-[HAS_PROFESSION]-&gt;(Teacher) and (GaroCommunity)-[HAS_PROFESSION]-&gt;(Farmer) as two blocks, not one block with (Teacher, Farmer). If you decide not to extract something because it is a duplicate, simply skip it -- never bundle it into another block instead.
- Do not decide in advance what topics or domains to look for -- extract everything factual the passage contains about the Garo/Mandi community's culture, language, history, beliefs, practices, and lived experience, whatever section of the paper it comes from.
- Each PASSAGE line must be traceable to a specific sentence, quoted exactly in SENTENCE REF. If you cannot find an exact sentence, do not output a block for that content at all.
Skip entirely -- do not output a block for any of the following:
- Bibliographic references, author citations, journal titles, page numbers, or keyword lists.
- Anything describing the research process itself rather than the community: sample sizes, participant/respondent counts or demographics, what participants or respondents were asked, told, or observed to say, how they were classified or coded (e.g. classification schemes, occupational codes), interview or data collection methods, data analysis procedures, or any subjective assessment the researchers made about participants (e.g. calling them vulnerable, hesitant, willing, or reluctant). "Respondents" or "participants" must never appear as a Subject or Object. Only extract facts about the Garo/Mandi community itself, never facts about how the paper studied them or who was surveyed.
Output only the formatted comment blocks. No explanation, no prose, no extra text, and nothing before the first "// PASSAGE:" line.
Passage:
&lt;PASSAGE TEXT INSERTED HERE&gt;
</t>
  </si>
  <si>
    <t xml:space="preserve">Best-ever TP Lenient for this variant across all 4 rounds (previous best 15) -- driven by finally catching 3 of the 6 vague 'AttireStyles includes X' items (Gando, Katib, Salchak) with EXACT spelling for the first time in the entire log's history. TP Strict stayed low (2) as expected -- this variant was never given the specificity mechanism, so 0/52 rows used GaroMen/GaroWomen, consistent with all 3 prior rounds. Predicate-type consistency still partially failed: introduced a 4th predicate variant ('WEARED_BEFORE') for 8 rows partway through, alongside the earlier 'ATTIRE'/'WEARS' predicates already used for the same relationship type -- the type-level rule reduced but did not eliminate predicate proliferation. The 'Respondents' leak was worked around via the singular 'Respondent' (not banned by the literal wording), and a new leak variant appeared: 'GaroCommunity CANNOT_PROVIDE_Information FamilyDetails/PersonalDetails' -- moves the leaked content onto a compliant Subject while keeping the exact same disallowed content (what people were reluctant to disclose to researchers).</t>
  </si>
  <si>
    <t xml:space="preserve">garo_1_page3_variantB.csv (round 4, refined prompt, overwrote prior file)</t>
  </si>
  <si>
    <t xml:space="preserve">PR007-VariantC (round 4 - refined)</t>
  </si>
  <si>
    <t xml:space="preserve">Refined Variant C (round 4): both refined bullets combined (Variant A's rewritten specificity rule + Variant B's rewritten type-level predicate-consistency rule), same baseline fixes underneath.</t>
  </si>
  <si>
    <t xml:space="preserve">You are a knowledge graph extraction assistant. You will be provided with a passage from an academic research paper.
Read the passage. Identify every factual claim, relationship, practice, belief, observation, or piece of knowledge about the Garo / Mandi community discussed in the passage. This passage may come from any part of the paper -- introduction, demographics, attire, food, religion, festivals, health, household life, occupation, or any other section -- so do not assume in advance which topic it covers.
Output your answer immediately as a sequence of Cypher comment blocks. Do not include any reasoning, planning, or &lt;think&gt; content, and do not write anything before the first block -- your entire response must consist only of comment blocks in this exact format:
// PASSAGE: (Subject)-[PREDICATE]-&gt;(Object)
// SENTENCE REF: &lt;exact sentence from the paper this was drawn from&gt;
// SOURCE: &lt;paper title placeholder&gt;
Strict rules for the PASSAGE line:
- It MUST be written ONLY as (Subject)-[PREDICATE]-&gt;(Object). Never write a full sentence, paraphrase, or description on the PASSAGE line -- that line is a structured triple, not prose.
- Subject and Object must be short noun phrases (1-4 words) in CamelCase with no spaces, e.g. (MandiLanguage), (GaroCommunity).
- Predicate must be UPPER_CASE_WITH_UNDERSCORES ONLY -- no lowercase letters, no spaces, no mixed case. For example, write IS_USED_IN, never "IS USED IN"; write WEARS, never "WE WEAR"; write HAS_FAMILY_STRUCTURE, never "HAS_FamilyStructure". A predicate containing a space or a lowercase word is always wrong -- rewrite it before outputting the block.
- Choose the Subject at the level of specificity the sentence itself actually supports -- neither more nor less. If the sentence names a specific subgroup, item, individual, organization, ritual, or role, use that specific entity as the Subject. If the sentence instead makes a general statement about the community as a whole, GaroPeople or GaroCommunity IS the correct Subject -- do not force a narrower entity onto a general statement, and do not default to a broad community-level noun when the sentence clearly names something narrower.
- Identify the underlying relationship TYPE each fact expresses (e.g. wearing an item of clothing, practicing a belief, migrating from a place, working in an occupation) and use exactly ONE predicate name for that type everywhere it appears in this passage, regardless of which specific subject or object is involved -- e.g. if you extract (GaroMen)-[WEARS]-&gt;(Lungis), also use WEARS for (GaroWomen)-[WEARS]-&gt;(Sarees), never a different word like WEAR or WORE for the same relationship type elsewhere in this passage. Before outputting a block, check whether this relationship type already has a predicate name used earlier in this passage; if so, reuse it exactly rather than inventing a new one.
- If a sentence lists multiple values for the same relationship (e.g. multiple professions, locations, languages, foods, or beliefs), output ONE SEPARATE triple per value. Never combine multiple values into a single comma-separated Object -- e.g. write (GaroCommunity)-[HAS_PROFESSION]-&gt;(Teacher) and (GaroCommunity)-[HAS_PROFESSION]-&gt;(Farmer) as two blocks, not one block with (Teacher, Farmer). If you decide not to extract something because it is a duplicate, simply skip it -- never bundle it into another block instead.
- Do not decide in advance what topics or domains to look for -- extract everything factual the passage contains about the Garo/Mandi community's culture, language, history, beliefs, practices, and lived experience, whatever section of the paper it comes from.
- Each PASSAGE line must be traceable to a specific sentence, quoted exactly in SENTENCE REF. If you cannot find an exact sentence, do not output a block for that content at all.
Skip entirely -- do not output a block for any of the following:
- Bibliographic references, author citations, journal titles, page numbers, or keyword lists.
- Anything describing the research process itself rather than the community: sample sizes, participant/respondent counts or demographics, what participants or respondents were asked, told, or observed to say, how they were classified or coded (e.g. classification schemes, occupational codes), interview or data collection methods, data analysis procedures, or any subjective assessment the researchers made about participants (e.g. calling them vulnerable, hesitant, willing, or reluctant). "Respondents" or "participants" must never appear as a Subject or Object. Only extract facts about the Garo/Mandi community itself, never facts about how the paper studied them or who was surveyed.
Output only the formatted comment blocks. No explanation, no prose, no extra text, and nothing before the first "// PASSAGE:" line.
Passage:
&lt;PASSAGE TEXT INSERTED HERE&gt;
</t>
  </si>
  <si>
    <t xml:space="preserve">Worst-ever TP Strict for this variant across all 4 rounds (previous: 8, 7, 13; this run: 1) -- a striking regression given Variant A alone hit its best-ever result (8) in this same batch. The specificity mechanism completely failed to activate here: 0/34 rows used GaroMen/GaroWomen, vs 28% for Variant A run in the same batch with the identical specificity wording. This suggests either (a) run-to-run non-determinism -- DeepSeek's own baseline swung 11-&gt;2-&gt;2 on an UNCHANGED prompt before, so one run is not conclusive -- or (b) a genuine negative interaction where combining the specificity and type-level-consistency instructions in one prompt makes the model less likely to follow either one fully. Recommend rerunning C at least once more before drawing a conclusion. On the positive side, GT2 (language influence) was captured with an unusually precise predicate this run ('IS_LINGUISTICALLY_INFLUENCED_BY', correct direction) -- scored LENIENT for consistency with how looser phrasings of the same fact were scored in earlier rounds, though this one is about as clean as that fact has ever been extracted. The 'vulnerable'/'CANNOT_PROVIDE_Information' leak patterns from Variant B showed up here too, confirming they aren't specific to B's wording.</t>
  </si>
  <si>
    <t xml:space="preserve">garo_1_page3_variantC.csv (round 4, refined prompt, overwrote prior file)</t>
  </si>
  <si>
    <t xml:space="preserve">How to use this log:</t>
  </si>
  <si>
    <t xml:space="preserve">1. Run a new extraction (via test_extraction.py in Cowork) and upload the resulting CSV to Claude.</t>
  </si>
  <si>
    <t xml:space="preserve">2. Claude matches it against the Page3_Ground_Truth sheet and reports TP (Strict), TP (Lenient), and Total Extracted (unique, after de-duping).</t>
  </si>
  <si>
    <t xml:space="preserve">3. Fill in one new row here with those counts — Precision/Recall/F1 calculate automatically.</t>
  </si>
  <si>
    <t xml:space="preserve">4. 'Strict' = exact semantic match only. 'Lenient' = exact + partial matches (right fact, wrong subject/predicate wording).</t>
  </si>
  <si>
    <t xml:space="preserve">5. Use the Notes column to track WHY a prompt version helped or hurt (e.g. 'added instruction to use specific subject entities — mega-hub dropped from 90% to 40% of triples').</t>
  </si>
  <si>
    <t xml:space="preserve">Summary — Stats Across All Rounds (Page 3, garo_1.pdf)</t>
  </si>
  <si>
    <t xml:space="preserve">Live view pulling from the rows above — edit the source rows, not these cells.</t>
  </si>
  <si>
    <t xml:space="preserve">Prompt</t>
  </si>
  <si>
    <t xml:space="preserve">Round</t>
  </si>
  <si>
    <t xml:space="preserve">Total Extracted</t>
  </si>
  <si>
    <t xml:space="preserve">F1 (Strict)</t>
  </si>
  <si>
    <t xml:space="preserve">F1 (Lenient)</t>
  </si>
  <si>
    <t xml:space="preserve">Baseline</t>
  </si>
  <si>
    <t xml:space="preserve">Original</t>
  </si>
  <si>
    <t xml:space="preserve">1</t>
  </si>
  <si>
    <t xml:space="preserve">2</t>
  </si>
  <si>
    <t xml:space="preserve">3</t>
  </si>
  <si>
    <t xml:space="preserve">Variant A</t>
  </si>
  <si>
    <t xml:space="preserve">Variant B</t>
  </si>
  <si>
    <t xml:space="preserve">Variant C</t>
  </si>
  <si>
    <t xml:space="preserve">4</t>
  </si>
  <si>
    <t xml:space="preserve">Rollup by Variant (averaged across Rounds 1-4; 'Original' baseline row excluded — different harness, run before the variant-testing framework existed)</t>
  </si>
  <si>
    <t xml:space="preserve">Rounds Averaged</t>
  </si>
  <si>
    <t xml:space="preserve">Avg TP (Strict)</t>
  </si>
  <si>
    <t xml:space="preserve">Avg TP (Lenient)</t>
  </si>
  <si>
    <t xml:space="preserve">Avg F1 (Strict)</t>
  </si>
  <si>
    <t xml:space="preserve">Avg F1 (Lenient)</t>
  </si>
  <si>
    <t xml:space="preserve">Best TP (Strict)</t>
  </si>
  <si>
    <t xml:space="preserve">Manual Ground Truth — Page 3, garo_1.pdf (Billah 2023)</t>
  </si>
  <si>
    <t xml:space="preserve">Source: KG_extraction_Garo_1.xlsx, 'Final Triples' sheet, filtered to Page = 3 (23 triples). Read-only reference — edit the source workbook, not this copy.</t>
  </si>
  <si>
    <t xml:space="preserve">#</t>
  </si>
  <si>
    <t xml:space="preserve">Triple</t>
  </si>
  <si>
    <t xml:space="preserve">Clarity</t>
  </si>
  <si>
    <t xml:space="preserve">Category</t>
  </si>
  <si>
    <t xml:space="preserve">(GaroSubtribe)-[FIRST_RECEIVED_NAME]-&gt;(Garo)</t>
  </si>
  <si>
    <t xml:space="preserve">Ambiguous</t>
  </si>
  <si>
    <t xml:space="preserve">Major Findings</t>
  </si>
  <si>
    <t xml:space="preserve">(BangaliLanguage)-[INFLUENCE_ON]-&gt;(MandiLanguage)</t>
  </si>
  <si>
    <t xml:space="preserve">Clear</t>
  </si>
  <si>
    <t xml:space="preserve">(GaroPeople)-[WORK_IN]-&gt;(Agriculture)</t>
  </si>
  <si>
    <t xml:space="preserve">Demographic Information</t>
  </si>
  <si>
    <t xml:space="preserve">(GaroPeople)-[HAVE_Clear_RATES_OF]-&gt;(Illiteracy)</t>
  </si>
  <si>
    <t xml:space="preserve">(GaroEducation)-[RESULTS_IN_LACK_OF]-&gt;(FamilyPlanning)</t>
  </si>
  <si>
    <t xml:space="preserve">Vague</t>
  </si>
  <si>
    <t xml:space="preserve">(GaroMen)-[WEARS]-&gt;(Lungis)</t>
  </si>
  <si>
    <t xml:space="preserve">Attire</t>
  </si>
  <si>
    <t xml:space="preserve">(GaroMen)-[WEARS]-&gt;(Genjis)</t>
  </si>
  <si>
    <t xml:space="preserve">(GaroMen)-[WEARS]-&gt;(Trousers)</t>
  </si>
  <si>
    <t xml:space="preserve">(GaroMen)-[WEARS]-&gt;(Shirts)</t>
  </si>
  <si>
    <t xml:space="preserve">(GaroWomen)-[WEARS]-&gt;(orna)</t>
  </si>
  <si>
    <t xml:space="preserve">(GaroWomen)-[WEARS]-&gt;(sarees)</t>
  </si>
  <si>
    <t xml:space="preserve">(GaroWomen)-[WEARS]-&gt;(blouses)</t>
  </si>
  <si>
    <t xml:space="preserve">(GaroWomen)-[WEARS]-&gt;(kamij)</t>
  </si>
  <si>
    <t xml:space="preserve">(GaroWomen)-[WEARS]-&gt;(petticoats)</t>
  </si>
  <si>
    <t xml:space="preserve">(GaroWomen)-[WEARS]-&gt;(salwars)</t>
  </si>
  <si>
    <t xml:space="preserve">(GaroWomen)-[WEARS]-&gt;(TraditionalCostumes)</t>
  </si>
  <si>
    <t xml:space="preserve">(GaroWomen)-[TRADITIONALLY_WORE]-&gt;(SilverJewelry)</t>
  </si>
  <si>
    <t xml:space="preserve">(AttireStyles)-[INCLUDES]-&gt;(Gando)</t>
  </si>
  <si>
    <t xml:space="preserve">(AttireStyles)-[INCLUDES]-&gt;(Katib)</t>
  </si>
  <si>
    <t xml:space="preserve">(AttireStyles)-[INCLUDES]-&gt;(Salchak)</t>
  </si>
  <si>
    <t xml:space="preserve">(AttireStyles)-[INCLUDES]-&gt;(Marang)</t>
  </si>
  <si>
    <t xml:space="preserve">(AttireStyles)-[INCLUDES]-&gt;(Unpon)</t>
  </si>
  <si>
    <t xml:space="preserve">(AttireStyles)-[INCLUDES]-&gt;(Riking)</t>
  </si>
  <si>
    <t xml:space="preserve">Recurring Structural Anti-Patterns</t>
  </si>
  <si>
    <t xml:space="preserve">Track whether each prompt revision improves, worsens, or has no effect on these known issues.</t>
  </si>
  <si>
    <t xml:space="preserve">Issue</t>
  </si>
  <si>
    <t xml:space="preserve">Description</t>
  </si>
  <si>
    <t xml:space="preserve">First Observed</t>
  </si>
  <si>
    <t xml:space="preserve">Status as of Latest Run</t>
  </si>
  <si>
    <t xml:space="preserve">Mega-hub node</t>
  </si>
  <si>
    <t xml:space="preserve">GaroCommunity absorbs ~70% of triples as subject across full-paper runs; page 3 shows the same pattern for attire and demographic facts that should attach to GaroMen/GaroWomen/AttireStyles/GaroPeople/GaroEducation.</t>
  </si>
  <si>
    <t xml:space="preserve">Full-paper extraction run (pre-page-level testing)</t>
  </si>
  <si>
    <t xml:space="preserve">Confirmed present — PR007, page 3</t>
  </si>
  <si>
    <t xml:space="preserve">Predicate explosion / duplication</t>
  </si>
  <si>
    <t xml:space="preserve">~76% of predicates used only once across full runs. On page 3: WEAR, WEAR Men's Attire, and WEAR Women's Attire all encode the same relationship, producing 3 exact duplicate triples.</t>
  </si>
  <si>
    <t xml:space="preserve">Full-paper extraction run</t>
  </si>
  <si>
    <t xml:space="preserve">Parser silent failure (parse_ollama_blocks)</t>
  </si>
  <si>
    <t xml:space="preserve">DeepSeek R1 7B output format doesn't match parser's expected block structure; real triples can silently collapse to UNKNOWN.</t>
  </si>
  <si>
    <t xml:space="preserve">Pipeline debugging session</t>
  </si>
  <si>
    <t xml:space="preserve">Fix diagnosed, pending teammate script update — not yet re-tested</t>
  </si>
  <si>
    <t xml:space="preserve">Run isolation (no run_id/timestamp)</t>
  </si>
  <si>
    <t xml:space="preserve">Neo4j relationships lack run_id/ingested_at, so re-runs merge via MERGE dedup. Not applicable to this test_extraction.py workflow since it writes to CSV, not Neo4j.</t>
  </si>
  <si>
    <t xml:space="preserve">Pipeline architecture review</t>
  </si>
  <si>
    <t xml:space="preserve">N/A for CSV-based prompt testing</t>
  </si>
</sst>
</file>

<file path=xl/styles.xml><?xml version="1.0" encoding="utf-8"?>
<styleSheet xmlns="http://schemas.openxmlformats.org/spreadsheetml/2006/main">
  <numFmts count="3">
    <numFmt numFmtId="164" formatCode="General"/>
    <numFmt numFmtId="165" formatCode="0.00"/>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10"/>
      <name val="Noto Sans CJK SC"/>
      <family val="2"/>
    </font>
    <font>
      <b val="true"/>
      <sz val="10"/>
      <name val="Arial"/>
      <family val="0"/>
      <charset val="1"/>
    </font>
    <font>
      <i val="true"/>
      <sz val="9"/>
      <name val="Arial"/>
      <family val="0"/>
      <charset val="1"/>
    </font>
    <font>
      <b val="true"/>
      <sz val="12"/>
      <color rgb="FF1F4E78"/>
      <name val="Arial"/>
      <family val="0"/>
      <charset val="1"/>
    </font>
    <font>
      <i val="true"/>
      <sz val="9"/>
      <color rgb="FF666666"/>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FF2CC"/>
        <bgColor rgb="FFE2EFDA"/>
      </patternFill>
    </fill>
    <fill>
      <patternFill patternType="solid">
        <fgColor rgb="FFE2EFDA"/>
        <bgColor rgb="FFFFF2CC"/>
      </patternFill>
    </fill>
    <fill>
      <patternFill patternType="solid">
        <fgColor rgb="FFF8CBAD"/>
        <bgColor rgb="FFFFE699"/>
      </patternFill>
    </fill>
    <fill>
      <patternFill patternType="solid">
        <fgColor rgb="FFC6E0B4"/>
        <bgColor rgb="FFE2EFDA"/>
      </patternFill>
    </fill>
    <fill>
      <patternFill patternType="solid">
        <fgColor rgb="FFFFE699"/>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6"/>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pane xSplit="0" ySplit="4" topLeftCell="A5" activePane="bottomLeft" state="frozen"/>
      <selection pane="topLeft" activeCell="C1" activeCellId="0" sqref="C1"/>
      <selection pane="bottomLeft" activeCell="J9" activeCellId="0" sqref="J9"/>
    </sheetView>
  </sheetViews>
  <sheetFormatPr defaultColWidth="8.66796875" defaultRowHeight="14.25" customHeight="false"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30"/>
    <col collapsed="false" customWidth="true" hidden="false" outlineLevel="0" max="5" min="5" style="1" width="50"/>
    <col collapsed="false" customWidth="true" hidden="false" outlineLevel="0" max="6" min="6" style="1" width="9"/>
    <col collapsed="false" customWidth="true" hidden="false" outlineLevel="0" max="7" min="7" style="1" width="10"/>
    <col collapsed="false" customWidth="true" hidden="false" outlineLevel="0" max="10" min="8" style="1" width="9"/>
    <col collapsed="false" customWidth="true" hidden="false" outlineLevel="0" max="16" min="11" style="1" width="8"/>
    <col collapsed="false" customWidth="true" hidden="false" outlineLevel="0" max="17" min="17" style="1" width="46"/>
    <col collapsed="false" customWidth="true" hidden="false" outlineLevel="0" max="18" min="18" style="1" width="20"/>
  </cols>
  <sheetData>
    <row r="1" customFormat="false" ht="17.2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4" customFormat="false" ht="52.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c r="R4" s="4" t="s">
        <v>19</v>
      </c>
    </row>
    <row r="5" customFormat="false" ht="409.5" hidden="false" customHeight="true" outlineLevel="0" collapsed="false">
      <c r="A5" s="5" t="s">
        <v>20</v>
      </c>
      <c r="B5" s="5" t="s">
        <v>21</v>
      </c>
      <c r="C5" s="5" t="s">
        <v>22</v>
      </c>
      <c r="D5" s="5" t="s">
        <v>23</v>
      </c>
      <c r="E5" s="6" t="s">
        <v>24</v>
      </c>
      <c r="F5" s="5" t="n">
        <v>23</v>
      </c>
      <c r="G5" s="5" t="n">
        <v>34</v>
      </c>
      <c r="H5" s="5" t="n">
        <v>3</v>
      </c>
      <c r="I5" s="5" t="n">
        <v>11</v>
      </c>
      <c r="J5" s="5" t="n">
        <v>16</v>
      </c>
      <c r="K5" s="7" t="n">
        <f aca="false">I5/G5</f>
        <v>0.323529411764706</v>
      </c>
      <c r="L5" s="7" t="n">
        <f aca="false">I5/F5</f>
        <v>0.478260869565217</v>
      </c>
      <c r="M5" s="7" t="n">
        <f aca="false">IFERROR(2*K5*L5/(K5+L5),0)</f>
        <v>0.385964912280702</v>
      </c>
      <c r="N5" s="7" t="n">
        <f aca="false">J5/G5</f>
        <v>0.470588235294118</v>
      </c>
      <c r="O5" s="7" t="n">
        <f aca="false">J5/F5</f>
        <v>0.695652173913044</v>
      </c>
      <c r="P5" s="7" t="n">
        <f aca="false">IFERROR(2*N5*O5/(N5+O5),0)</f>
        <v>0.56140350877193</v>
      </c>
      <c r="Q5" s="5" t="s">
        <v>25</v>
      </c>
      <c r="R5" s="5" t="s">
        <v>26</v>
      </c>
    </row>
    <row r="6" customFormat="false" ht="409.5" hidden="false" customHeight="true" outlineLevel="0" collapsed="false">
      <c r="A6" s="5" t="s">
        <v>27</v>
      </c>
      <c r="B6" s="5" t="s">
        <v>21</v>
      </c>
      <c r="C6" s="5" t="s">
        <v>22</v>
      </c>
      <c r="D6" s="5" t="s">
        <v>28</v>
      </c>
      <c r="E6" s="6" t="s">
        <v>24</v>
      </c>
      <c r="F6" s="5" t="n">
        <v>23</v>
      </c>
      <c r="G6" s="5" t="n">
        <v>31</v>
      </c>
      <c r="H6" s="5" t="n">
        <v>0</v>
      </c>
      <c r="I6" s="5" t="n">
        <v>2</v>
      </c>
      <c r="J6" s="5" t="n">
        <v>14</v>
      </c>
      <c r="K6" s="7" t="n">
        <f aca="false">I6/G6</f>
        <v>0.0645161290322581</v>
      </c>
      <c r="L6" s="7" t="n">
        <f aca="false">I6/F6</f>
        <v>0.0869565217391304</v>
      </c>
      <c r="M6" s="7" t="n">
        <f aca="false">IFERROR(2*K6*L6/(K6+L6),0)</f>
        <v>0.0740740740740741</v>
      </c>
      <c r="N6" s="7" t="n">
        <f aca="false">J6/G6</f>
        <v>0.451612903225806</v>
      </c>
      <c r="O6" s="7" t="n">
        <f aca="false">J6/F6</f>
        <v>0.608695652173913</v>
      </c>
      <c r="P6" s="7" t="n">
        <f aca="false">IFERROR(2*N6*O6/(N6+O6),0)</f>
        <v>0.518518518518519</v>
      </c>
      <c r="Q6" s="5" t="s">
        <v>29</v>
      </c>
      <c r="R6" s="5" t="s">
        <v>30</v>
      </c>
    </row>
    <row r="7" customFormat="false" ht="409.5" hidden="false" customHeight="true" outlineLevel="0" collapsed="false">
      <c r="A7" s="5" t="s">
        <v>31</v>
      </c>
      <c r="B7" s="5" t="s">
        <v>21</v>
      </c>
      <c r="C7" s="5" t="s">
        <v>22</v>
      </c>
      <c r="D7" s="5" t="s">
        <v>32</v>
      </c>
      <c r="E7" s="6" t="s">
        <v>33</v>
      </c>
      <c r="F7" s="5" t="n">
        <v>23</v>
      </c>
      <c r="G7" s="5" t="n">
        <v>28</v>
      </c>
      <c r="H7" s="5" t="n">
        <v>0</v>
      </c>
      <c r="I7" s="5" t="n">
        <v>6</v>
      </c>
      <c r="J7" s="5" t="n">
        <v>12</v>
      </c>
      <c r="K7" s="7" t="n">
        <f aca="false">I7/G7</f>
        <v>0.214285714285714</v>
      </c>
      <c r="L7" s="7" t="n">
        <f aca="false">I7/F7</f>
        <v>0.260869565217391</v>
      </c>
      <c r="M7" s="7" t="n">
        <f aca="false">IFERROR(2*K7*L7/(K7+L7),0)</f>
        <v>0.235294117647059</v>
      </c>
      <c r="N7" s="7" t="n">
        <f aca="false">J7/G7</f>
        <v>0.428571428571429</v>
      </c>
      <c r="O7" s="7" t="n">
        <f aca="false">J7/F7</f>
        <v>0.521739130434783</v>
      </c>
      <c r="P7" s="7" t="n">
        <f aca="false">IFERROR(2*N7*O7/(N7+O7),0)</f>
        <v>0.470588235294118</v>
      </c>
      <c r="Q7" s="5" t="s">
        <v>34</v>
      </c>
      <c r="R7" s="5" t="s">
        <v>35</v>
      </c>
    </row>
    <row r="8" customFormat="false" ht="409.5" hidden="false" customHeight="true" outlineLevel="0" collapsed="false">
      <c r="A8" s="5" t="s">
        <v>36</v>
      </c>
      <c r="B8" s="5" t="s">
        <v>21</v>
      </c>
      <c r="C8" s="5" t="s">
        <v>22</v>
      </c>
      <c r="D8" s="5" t="s">
        <v>37</v>
      </c>
      <c r="E8" s="6" t="s">
        <v>38</v>
      </c>
      <c r="F8" s="5" t="n">
        <v>23</v>
      </c>
      <c r="G8" s="5" t="n">
        <v>38</v>
      </c>
      <c r="H8" s="5" t="n">
        <v>0</v>
      </c>
      <c r="I8" s="5" t="n">
        <v>1</v>
      </c>
      <c r="J8" s="5" t="n">
        <v>15</v>
      </c>
      <c r="K8" s="7" t="n">
        <f aca="false">I8/G8</f>
        <v>0.0263157894736842</v>
      </c>
      <c r="L8" s="7" t="n">
        <f aca="false">I8/F8</f>
        <v>0.0434782608695652</v>
      </c>
      <c r="M8" s="7" t="n">
        <f aca="false">IFERROR(2*K8*L8/(K8+L8),0)</f>
        <v>0.0327868852459016</v>
      </c>
      <c r="N8" s="7" t="n">
        <f aca="false">J8/G8</f>
        <v>0.394736842105263</v>
      </c>
      <c r="O8" s="7" t="n">
        <f aca="false">J8/F8</f>
        <v>0.652173913043478</v>
      </c>
      <c r="P8" s="7" t="n">
        <f aca="false">IFERROR(2*N8*O8/(N8+O8),0)</f>
        <v>0.491803278688525</v>
      </c>
      <c r="Q8" s="5" t="s">
        <v>39</v>
      </c>
      <c r="R8" s="5" t="s">
        <v>40</v>
      </c>
    </row>
    <row r="9" customFormat="false" ht="409.5" hidden="false" customHeight="true" outlineLevel="0" collapsed="false">
      <c r="A9" s="5" t="s">
        <v>41</v>
      </c>
      <c r="B9" s="5" t="s">
        <v>21</v>
      </c>
      <c r="C9" s="5" t="s">
        <v>22</v>
      </c>
      <c r="D9" s="5" t="s">
        <v>42</v>
      </c>
      <c r="E9" s="6" t="s">
        <v>43</v>
      </c>
      <c r="F9" s="5" t="n">
        <v>23</v>
      </c>
      <c r="G9" s="5" t="n">
        <v>23</v>
      </c>
      <c r="H9" s="5" t="n">
        <v>0</v>
      </c>
      <c r="I9" s="5" t="n">
        <v>8</v>
      </c>
      <c r="J9" s="5" t="n">
        <v>8</v>
      </c>
      <c r="K9" s="7" t="n">
        <f aca="false">I9/G9</f>
        <v>0.347826086956522</v>
      </c>
      <c r="L9" s="7" t="n">
        <f aca="false">I9/F9</f>
        <v>0.347826086956522</v>
      </c>
      <c r="M9" s="7" t="n">
        <f aca="false">IFERROR(2*K9*L9/(K9+L9),0)</f>
        <v>0.347826086956522</v>
      </c>
      <c r="N9" s="7" t="n">
        <f aca="false">J9/G9</f>
        <v>0.347826086956522</v>
      </c>
      <c r="O9" s="7" t="n">
        <f aca="false">J9/F9</f>
        <v>0.347826086956522</v>
      </c>
      <c r="P9" s="7" t="n">
        <f aca="false">IFERROR(2*N9*O9/(N9+O9),0)</f>
        <v>0.347826086956522</v>
      </c>
      <c r="Q9" s="5" t="s">
        <v>44</v>
      </c>
      <c r="R9" s="5" t="s">
        <v>45</v>
      </c>
    </row>
    <row r="10" customFormat="false" ht="409.5" hidden="false" customHeight="true" outlineLevel="0" collapsed="false">
      <c r="A10" s="5" t="s">
        <v>46</v>
      </c>
      <c r="B10" s="5" t="s">
        <v>47</v>
      </c>
      <c r="C10" s="5" t="s">
        <v>22</v>
      </c>
      <c r="D10" s="5" t="s">
        <v>48</v>
      </c>
      <c r="E10" s="6" t="s">
        <v>24</v>
      </c>
      <c r="F10" s="5" t="n">
        <v>23</v>
      </c>
      <c r="G10" s="5" t="n">
        <v>31</v>
      </c>
      <c r="H10" s="5" t="n">
        <v>0</v>
      </c>
      <c r="I10" s="5" t="n">
        <v>2</v>
      </c>
      <c r="J10" s="5" t="n">
        <v>10</v>
      </c>
      <c r="K10" s="7" t="n">
        <f aca="false">I10/G10</f>
        <v>0.0645161290322581</v>
      </c>
      <c r="L10" s="7" t="n">
        <f aca="false">I10/F10</f>
        <v>0.0869565217391304</v>
      </c>
      <c r="M10" s="7" t="n">
        <f aca="false">IFERROR(2*K10*L10/(K10+L10),0)</f>
        <v>0.0740740740740741</v>
      </c>
      <c r="N10" s="7" t="n">
        <f aca="false">J10/G10</f>
        <v>0.32258064516129</v>
      </c>
      <c r="O10" s="7" t="n">
        <f aca="false">J10/F10</f>
        <v>0.434782608695652</v>
      </c>
      <c r="P10" s="7" t="n">
        <f aca="false">IFERROR(2*N10*O10/(N10+O10),0)</f>
        <v>0.37037037037037</v>
      </c>
      <c r="Q10" s="5" t="s">
        <v>49</v>
      </c>
      <c r="R10" s="5" t="s">
        <v>50</v>
      </c>
    </row>
    <row r="11" customFormat="false" ht="409.5" hidden="false" customHeight="true" outlineLevel="0" collapsed="false">
      <c r="A11" s="5" t="s">
        <v>51</v>
      </c>
      <c r="B11" s="5" t="s">
        <v>47</v>
      </c>
      <c r="C11" s="5" t="s">
        <v>22</v>
      </c>
      <c r="D11" s="5" t="s">
        <v>52</v>
      </c>
      <c r="E11" s="6" t="s">
        <v>33</v>
      </c>
      <c r="F11" s="5" t="n">
        <v>23</v>
      </c>
      <c r="G11" s="5" t="n">
        <v>36</v>
      </c>
      <c r="H11" s="5" t="n">
        <v>0</v>
      </c>
      <c r="I11" s="5" t="n">
        <v>2</v>
      </c>
      <c r="J11" s="5" t="n">
        <v>16</v>
      </c>
      <c r="K11" s="7" t="n">
        <f aca="false">I11/G11</f>
        <v>0.0555555555555556</v>
      </c>
      <c r="L11" s="7" t="n">
        <f aca="false">I11/F11</f>
        <v>0.0869565217391304</v>
      </c>
      <c r="M11" s="7" t="n">
        <f aca="false">IFERROR(2*K11*L11/(K11+L11),0)</f>
        <v>0.0677966101694915</v>
      </c>
      <c r="N11" s="7" t="n">
        <f aca="false">J11/G11</f>
        <v>0.444444444444444</v>
      </c>
      <c r="O11" s="7" t="n">
        <f aca="false">J11/F11</f>
        <v>0.695652173913044</v>
      </c>
      <c r="P11" s="7" t="n">
        <f aca="false">IFERROR(2*N11*O11/(N11+O11),0)</f>
        <v>0.542372881355932</v>
      </c>
      <c r="Q11" s="5" t="s">
        <v>53</v>
      </c>
      <c r="R11" s="5" t="s">
        <v>54</v>
      </c>
    </row>
    <row r="12" customFormat="false" ht="409.5" hidden="false" customHeight="true" outlineLevel="0" collapsed="false">
      <c r="A12" s="5" t="s">
        <v>55</v>
      </c>
      <c r="B12" s="5" t="s">
        <v>47</v>
      </c>
      <c r="C12" s="5" t="s">
        <v>22</v>
      </c>
      <c r="D12" s="5" t="s">
        <v>56</v>
      </c>
      <c r="E12" s="6" t="s">
        <v>38</v>
      </c>
      <c r="F12" s="5" t="n">
        <v>23</v>
      </c>
      <c r="G12" s="5" t="n">
        <v>35</v>
      </c>
      <c r="H12" s="5" t="n">
        <v>0</v>
      </c>
      <c r="I12" s="5" t="n">
        <v>0</v>
      </c>
      <c r="J12" s="5" t="n">
        <v>12</v>
      </c>
      <c r="K12" s="7" t="n">
        <f aca="false">I12/G12</f>
        <v>0</v>
      </c>
      <c r="L12" s="7" t="n">
        <f aca="false">I12/F12</f>
        <v>0</v>
      </c>
      <c r="M12" s="7" t="n">
        <f aca="false">IFERROR(2*K12*L12/(K12+L12),0)</f>
        <v>0</v>
      </c>
      <c r="N12" s="7" t="n">
        <f aca="false">J12/G12</f>
        <v>0.342857142857143</v>
      </c>
      <c r="O12" s="7" t="n">
        <f aca="false">J12/F12</f>
        <v>0.521739130434783</v>
      </c>
      <c r="P12" s="7" t="n">
        <f aca="false">IFERROR(2*N12*O12/(N12+O12),0)</f>
        <v>0.413793103448276</v>
      </c>
      <c r="Q12" s="5" t="s">
        <v>57</v>
      </c>
      <c r="R12" s="5" t="s">
        <v>58</v>
      </c>
    </row>
    <row r="13" customFormat="false" ht="409.5" hidden="false" customHeight="true" outlineLevel="0" collapsed="false">
      <c r="A13" s="5" t="s">
        <v>59</v>
      </c>
      <c r="B13" s="5" t="s">
        <v>47</v>
      </c>
      <c r="C13" s="5" t="s">
        <v>22</v>
      </c>
      <c r="D13" s="5" t="s">
        <v>60</v>
      </c>
      <c r="E13" s="6" t="s">
        <v>43</v>
      </c>
      <c r="F13" s="5" t="n">
        <v>23</v>
      </c>
      <c r="G13" s="5" t="n">
        <v>39</v>
      </c>
      <c r="H13" s="5" t="n">
        <v>0</v>
      </c>
      <c r="I13" s="5" t="n">
        <v>7</v>
      </c>
      <c r="J13" s="5" t="n">
        <v>16</v>
      </c>
      <c r="K13" s="7" t="n">
        <f aca="false">I13/G13</f>
        <v>0.17948717948718</v>
      </c>
      <c r="L13" s="7" t="n">
        <f aca="false">I13/F13</f>
        <v>0.304347826086957</v>
      </c>
      <c r="M13" s="7" t="n">
        <f aca="false">IFERROR(2*K13*L13/(K13+L13),0)</f>
        <v>0.225806451612903</v>
      </c>
      <c r="N13" s="7" t="n">
        <f aca="false">J13/G13</f>
        <v>0.41025641025641</v>
      </c>
      <c r="O13" s="7" t="n">
        <f aca="false">J13/F13</f>
        <v>0.695652173913044</v>
      </c>
      <c r="P13" s="7" t="n">
        <f aca="false">IFERROR(2*N13*O13/(N13+O13),0)</f>
        <v>0.516129032258065</v>
      </c>
      <c r="Q13" s="5" t="s">
        <v>61</v>
      </c>
      <c r="R13" s="5" t="s">
        <v>62</v>
      </c>
    </row>
    <row r="14" customFormat="false" ht="15" hidden="false" customHeight="true" outlineLevel="0" collapsed="false">
      <c r="A14" s="5" t="s">
        <v>63</v>
      </c>
      <c r="B14" s="1" t="s">
        <v>47</v>
      </c>
      <c r="C14" s="1" t="s">
        <v>22</v>
      </c>
      <c r="D14" s="1" t="s">
        <v>64</v>
      </c>
      <c r="E14" s="8" t="s">
        <v>24</v>
      </c>
      <c r="F14" s="1" t="n">
        <v>23</v>
      </c>
      <c r="G14" s="5" t="n">
        <v>36</v>
      </c>
      <c r="H14" s="5" t="n">
        <v>0</v>
      </c>
      <c r="I14" s="5" t="n">
        <v>2</v>
      </c>
      <c r="J14" s="5" t="n">
        <v>14</v>
      </c>
      <c r="K14" s="7" t="n">
        <f aca="false">I14/G14</f>
        <v>0.0555555555555556</v>
      </c>
      <c r="L14" s="7" t="n">
        <f aca="false">I14/F14</f>
        <v>0.0869565217391304</v>
      </c>
      <c r="M14" s="7" t="n">
        <f aca="false">IFERROR(2*K14*L14/(K14+L14),0)</f>
        <v>0.0677966101694915</v>
      </c>
      <c r="N14" s="7" t="n">
        <f aca="false">J14/G14</f>
        <v>0.388888888888889</v>
      </c>
      <c r="O14" s="7" t="n">
        <f aca="false">J14/F14</f>
        <v>0.608695652173913</v>
      </c>
      <c r="P14" s="7" t="n">
        <f aca="false">IFERROR(2*N14*O14/(N14+O14),0)</f>
        <v>0.474576271186441</v>
      </c>
      <c r="Q14" s="5" t="s">
        <v>65</v>
      </c>
      <c r="R14" s="5" t="s">
        <v>66</v>
      </c>
    </row>
    <row r="15" customFormat="false" ht="15" hidden="false" customHeight="true" outlineLevel="0" collapsed="false">
      <c r="A15" s="5" t="s">
        <v>67</v>
      </c>
      <c r="B15" s="1" t="s">
        <v>47</v>
      </c>
      <c r="C15" s="1" t="s">
        <v>22</v>
      </c>
      <c r="D15" s="1" t="s">
        <v>68</v>
      </c>
      <c r="E15" s="8" t="s">
        <v>33</v>
      </c>
      <c r="F15" s="1" t="n">
        <v>23</v>
      </c>
      <c r="G15" s="5" t="n">
        <v>27</v>
      </c>
      <c r="H15" s="5" t="n">
        <v>0</v>
      </c>
      <c r="I15" s="5" t="n">
        <v>4</v>
      </c>
      <c r="J15" s="5" t="n">
        <v>8</v>
      </c>
      <c r="K15" s="7" t="n">
        <f aca="false">I15/G15</f>
        <v>0.148148148148148</v>
      </c>
      <c r="L15" s="7" t="n">
        <f aca="false">I15/F15</f>
        <v>0.173913043478261</v>
      </c>
      <c r="M15" s="7" t="n">
        <f aca="false">IFERROR(2*K15*L15/(K15+L15),0)</f>
        <v>0.16</v>
      </c>
      <c r="N15" s="7" t="n">
        <f aca="false">J15/G15</f>
        <v>0.296296296296296</v>
      </c>
      <c r="O15" s="7" t="n">
        <f aca="false">J15/F15</f>
        <v>0.347826086956522</v>
      </c>
      <c r="P15" s="7" t="n">
        <f aca="false">IFERROR(2*N15*O15/(N15+O15),0)</f>
        <v>0.32</v>
      </c>
      <c r="Q15" s="5" t="s">
        <v>69</v>
      </c>
      <c r="R15" s="5" t="s">
        <v>70</v>
      </c>
    </row>
    <row r="16" customFormat="false" ht="15" hidden="false" customHeight="true" outlineLevel="0" collapsed="false">
      <c r="A16" s="5" t="s">
        <v>71</v>
      </c>
      <c r="B16" s="1" t="s">
        <v>47</v>
      </c>
      <c r="C16" s="1" t="s">
        <v>22</v>
      </c>
      <c r="D16" s="1" t="s">
        <v>72</v>
      </c>
      <c r="E16" s="8" t="s">
        <v>38</v>
      </c>
      <c r="F16" s="1" t="n">
        <v>23</v>
      </c>
      <c r="G16" s="5" t="n">
        <v>38</v>
      </c>
      <c r="H16" s="5" t="n">
        <v>0</v>
      </c>
      <c r="I16" s="5" t="n">
        <v>1</v>
      </c>
      <c r="J16" s="5" t="n">
        <v>14</v>
      </c>
      <c r="K16" s="7" t="n">
        <f aca="false">I16/G16</f>
        <v>0.0263157894736842</v>
      </c>
      <c r="L16" s="7" t="n">
        <f aca="false">I16/F16</f>
        <v>0.0434782608695652</v>
      </c>
      <c r="M16" s="7" t="n">
        <f aca="false">IFERROR(2*K16*L16/(K16+L16),0)</f>
        <v>0.0327868852459016</v>
      </c>
      <c r="N16" s="7" t="n">
        <f aca="false">J16/G16</f>
        <v>0.368421052631579</v>
      </c>
      <c r="O16" s="7" t="n">
        <f aca="false">J16/F16</f>
        <v>0.608695652173913</v>
      </c>
      <c r="P16" s="7" t="n">
        <f aca="false">IFERROR(2*N16*O16/(N16+O16),0)</f>
        <v>0.459016393442623</v>
      </c>
      <c r="Q16" s="5" t="s">
        <v>73</v>
      </c>
      <c r="R16" s="5" t="s">
        <v>74</v>
      </c>
    </row>
    <row r="17" customFormat="false" ht="15" hidden="false" customHeight="true" outlineLevel="0" collapsed="false">
      <c r="A17" s="5" t="s">
        <v>75</v>
      </c>
      <c r="B17" s="1" t="s">
        <v>47</v>
      </c>
      <c r="C17" s="1" t="s">
        <v>22</v>
      </c>
      <c r="D17" s="1" t="s">
        <v>76</v>
      </c>
      <c r="E17" s="8" t="s">
        <v>43</v>
      </c>
      <c r="F17" s="1" t="n">
        <v>23</v>
      </c>
      <c r="G17" s="5" t="n">
        <v>43</v>
      </c>
      <c r="H17" s="5" t="n">
        <v>0</v>
      </c>
      <c r="I17" s="5" t="n">
        <v>13</v>
      </c>
      <c r="J17" s="5" t="n">
        <v>15</v>
      </c>
      <c r="K17" s="7" t="n">
        <f aca="false">I17/G17</f>
        <v>0.302325581395349</v>
      </c>
      <c r="L17" s="7" t="n">
        <f aca="false">I17/F17</f>
        <v>0.565217391304348</v>
      </c>
      <c r="M17" s="7" t="n">
        <f aca="false">IFERROR(2*K17*L17/(K17+L17),0)</f>
        <v>0.393939393939394</v>
      </c>
      <c r="N17" s="7" t="n">
        <f aca="false">J17/G17</f>
        <v>0.348837209302326</v>
      </c>
      <c r="O17" s="7" t="n">
        <f aca="false">J17/F17</f>
        <v>0.652173913043478</v>
      </c>
      <c r="P17" s="7" t="n">
        <f aca="false">IFERROR(2*N17*O17/(N17+O17),0)</f>
        <v>0.454545454545455</v>
      </c>
      <c r="Q17" s="5" t="s">
        <v>77</v>
      </c>
      <c r="R17" s="5" t="s">
        <v>78</v>
      </c>
    </row>
    <row r="18" customFormat="false" ht="15" hidden="false" customHeight="true" outlineLevel="0" collapsed="false">
      <c r="A18" s="5" t="s">
        <v>79</v>
      </c>
      <c r="B18" s="1" t="s">
        <v>47</v>
      </c>
      <c r="C18" s="1" t="s">
        <v>22</v>
      </c>
      <c r="D18" s="1" t="s">
        <v>80</v>
      </c>
      <c r="E18" s="8" t="s">
        <v>81</v>
      </c>
      <c r="F18" s="1" t="n">
        <v>23</v>
      </c>
      <c r="G18" s="5" t="n">
        <v>38</v>
      </c>
      <c r="H18" s="5" t="n">
        <v>0</v>
      </c>
      <c r="I18" s="5" t="n">
        <v>2</v>
      </c>
      <c r="J18" s="5" t="n">
        <v>14</v>
      </c>
      <c r="K18" s="7" t="n">
        <f aca="false">I18/G18</f>
        <v>0.0526315789473684</v>
      </c>
      <c r="L18" s="7" t="n">
        <f aca="false">I18/F18</f>
        <v>0.0869565217391304</v>
      </c>
      <c r="M18" s="7" t="n">
        <f aca="false">IFERROR(2*K18*L18/(K18+L18),0)</f>
        <v>0.0655737704918033</v>
      </c>
      <c r="N18" s="7" t="n">
        <f aca="false">J18/G18</f>
        <v>0.368421052631579</v>
      </c>
      <c r="O18" s="7" t="n">
        <f aca="false">J18/F18</f>
        <v>0.608695652173913</v>
      </c>
      <c r="P18" s="7" t="n">
        <f aca="false">IFERROR(2*N18*O18/(N18+O18),0)</f>
        <v>0.459016393442623</v>
      </c>
      <c r="Q18" s="5" t="s">
        <v>82</v>
      </c>
      <c r="R18" s="5" t="s">
        <v>83</v>
      </c>
    </row>
    <row r="19" customFormat="false" ht="14.25" hidden="false" customHeight="true" outlineLevel="0" collapsed="false">
      <c r="A19" s="5" t="s">
        <v>84</v>
      </c>
      <c r="B19" s="1" t="s">
        <v>47</v>
      </c>
      <c r="C19" s="1" t="s">
        <v>22</v>
      </c>
      <c r="D19" s="1" t="s">
        <v>85</v>
      </c>
      <c r="E19" s="8" t="s">
        <v>86</v>
      </c>
      <c r="F19" s="1" t="n">
        <v>23</v>
      </c>
      <c r="G19" s="5" t="n">
        <v>39</v>
      </c>
      <c r="H19" s="5" t="n">
        <v>0</v>
      </c>
      <c r="I19" s="5" t="n">
        <v>8</v>
      </c>
      <c r="J19" s="5" t="n">
        <v>13</v>
      </c>
      <c r="K19" s="7" t="n">
        <f aca="false">I19/G19</f>
        <v>0.205128205128205</v>
      </c>
      <c r="L19" s="7" t="n">
        <f aca="false">I19/F19</f>
        <v>0.347826086956522</v>
      </c>
      <c r="M19" s="7" t="n">
        <f aca="false">IFERROR(2*K19*L19/(K19+L19),0)</f>
        <v>0.258064516129032</v>
      </c>
      <c r="N19" s="7" t="n">
        <f aca="false">J19/G19</f>
        <v>0.333333333333333</v>
      </c>
      <c r="O19" s="7" t="n">
        <f aca="false">J19/F19</f>
        <v>0.565217391304348</v>
      </c>
      <c r="P19" s="7" t="n">
        <f aca="false">IFERROR(2*N19*O19/(N19+O19),0)</f>
        <v>0.419354838709677</v>
      </c>
      <c r="Q19" s="5" t="s">
        <v>87</v>
      </c>
      <c r="R19" s="5" t="s">
        <v>88</v>
      </c>
    </row>
    <row r="20" customFormat="false" ht="14.25" hidden="false" customHeight="true" outlineLevel="0" collapsed="false">
      <c r="A20" s="5" t="s">
        <v>89</v>
      </c>
      <c r="B20" s="1" t="s">
        <v>47</v>
      </c>
      <c r="C20" s="1" t="s">
        <v>22</v>
      </c>
      <c r="D20" s="1" t="s">
        <v>90</v>
      </c>
      <c r="E20" s="8" t="s">
        <v>91</v>
      </c>
      <c r="F20" s="1" t="n">
        <v>23</v>
      </c>
      <c r="G20" s="5" t="n">
        <v>52</v>
      </c>
      <c r="H20" s="5" t="n">
        <v>0</v>
      </c>
      <c r="I20" s="5" t="n">
        <v>2</v>
      </c>
      <c r="J20" s="5" t="n">
        <v>19</v>
      </c>
      <c r="K20" s="7" t="n">
        <f aca="false">I20/G20</f>
        <v>0.0384615384615385</v>
      </c>
      <c r="L20" s="7" t="n">
        <f aca="false">I20/F20</f>
        <v>0.0869565217391304</v>
      </c>
      <c r="M20" s="7" t="n">
        <f aca="false">IFERROR(2*K20*L20/(K20+L20),0)</f>
        <v>0.0533333333333333</v>
      </c>
      <c r="N20" s="7" t="n">
        <f aca="false">J20/G20</f>
        <v>0.365384615384615</v>
      </c>
      <c r="O20" s="7" t="n">
        <f aca="false">J20/F20</f>
        <v>0.826086956521739</v>
      </c>
      <c r="P20" s="7" t="n">
        <f aca="false">IFERROR(2*N20*O20/(N20+O20),0)</f>
        <v>0.506666666666667</v>
      </c>
      <c r="Q20" s="5" t="s">
        <v>92</v>
      </c>
      <c r="R20" s="5" t="s">
        <v>93</v>
      </c>
    </row>
    <row r="21" customFormat="false" ht="14.25" hidden="false" customHeight="true" outlineLevel="0" collapsed="false">
      <c r="A21" s="5" t="s">
        <v>94</v>
      </c>
      <c r="B21" s="1" t="s">
        <v>47</v>
      </c>
      <c r="C21" s="1" t="s">
        <v>22</v>
      </c>
      <c r="D21" s="1" t="s">
        <v>95</v>
      </c>
      <c r="E21" s="8" t="s">
        <v>96</v>
      </c>
      <c r="F21" s="1" t="n">
        <v>23</v>
      </c>
      <c r="G21" s="5" t="n">
        <v>34</v>
      </c>
      <c r="H21" s="5" t="n">
        <v>0</v>
      </c>
      <c r="I21" s="5" t="n">
        <v>1</v>
      </c>
      <c r="J21" s="5" t="n">
        <v>14</v>
      </c>
      <c r="K21" s="7" t="n">
        <f aca="false">I21/G21</f>
        <v>0.0294117647058824</v>
      </c>
      <c r="L21" s="7" t="n">
        <f aca="false">I21/F21</f>
        <v>0.0434782608695652</v>
      </c>
      <c r="M21" s="7" t="n">
        <f aca="false">IFERROR(2*K21*L21/(K21+L21),0)</f>
        <v>0.0350877192982456</v>
      </c>
      <c r="N21" s="7" t="n">
        <f aca="false">J21/G21</f>
        <v>0.411764705882353</v>
      </c>
      <c r="O21" s="7" t="n">
        <f aca="false">J21/F21</f>
        <v>0.608695652173913</v>
      </c>
      <c r="P21" s="7" t="n">
        <f aca="false">IFERROR(2*N21*O21/(N21+O21),0)</f>
        <v>0.491228070175439</v>
      </c>
      <c r="Q21" s="5" t="s">
        <v>97</v>
      </c>
      <c r="R21" s="5" t="s">
        <v>98</v>
      </c>
    </row>
    <row r="22" customFormat="false" ht="14.25" hidden="false" customHeight="true" outlineLevel="0" collapsed="false">
      <c r="A22" s="9" t="s">
        <v>99</v>
      </c>
      <c r="B22" s="9"/>
      <c r="C22" s="9"/>
      <c r="D22" s="9"/>
      <c r="E22" s="9"/>
      <c r="F22" s="9"/>
    </row>
    <row r="23" customFormat="false" ht="14.25" hidden="false" customHeight="true" outlineLevel="0" collapsed="false">
      <c r="A23" s="10" t="s">
        <v>100</v>
      </c>
    </row>
    <row r="24" customFormat="false" ht="14.25" hidden="false" customHeight="false" outlineLevel="0" collapsed="false">
      <c r="A24" s="10" t="s">
        <v>101</v>
      </c>
    </row>
    <row r="25" customFormat="false" ht="15" hidden="false" customHeight="true" outlineLevel="0" collapsed="false">
      <c r="A25" s="10" t="s">
        <v>102</v>
      </c>
    </row>
    <row r="26" customFormat="false" ht="14.25" hidden="false" customHeight="true" outlineLevel="0" collapsed="false">
      <c r="A26" s="10" t="s">
        <v>103</v>
      </c>
    </row>
    <row r="27" customFormat="false" ht="14.25" hidden="false" customHeight="false" outlineLevel="0" collapsed="false">
      <c r="A27" s="10" t="s">
        <v>104</v>
      </c>
    </row>
    <row r="28" customFormat="false" ht="27.75" hidden="false" customHeight="true" outlineLevel="0" collapsed="false"/>
    <row r="29" customFormat="false" ht="14.25" hidden="false" customHeight="true" outlineLevel="0" collapsed="false">
      <c r="A29" s="11" t="s">
        <v>105</v>
      </c>
      <c r="B29" s="11"/>
      <c r="C29" s="11"/>
      <c r="D29" s="11"/>
      <c r="E29" s="11"/>
      <c r="F29" s="11"/>
      <c r="G29" s="11"/>
    </row>
    <row r="30" customFormat="false" ht="14.25" hidden="false" customHeight="true" outlineLevel="0" collapsed="false">
      <c r="A30" s="12" t="s">
        <v>106</v>
      </c>
      <c r="B30" s="12"/>
      <c r="C30" s="12"/>
      <c r="D30" s="12"/>
      <c r="E30" s="12"/>
      <c r="F30" s="12"/>
      <c r="G30" s="12"/>
    </row>
    <row r="31" customFormat="false" ht="14.25" hidden="false" customHeight="true" outlineLevel="0" collapsed="false"/>
    <row r="32" customFormat="false" ht="14.25" hidden="false" customHeight="true" outlineLevel="0" collapsed="false">
      <c r="A32" s="4" t="s">
        <v>107</v>
      </c>
      <c r="B32" s="4" t="s">
        <v>108</v>
      </c>
      <c r="C32" s="4" t="s">
        <v>109</v>
      </c>
      <c r="D32" s="4" t="s">
        <v>10</v>
      </c>
      <c r="E32" s="4" t="s">
        <v>11</v>
      </c>
      <c r="F32" s="4" t="s">
        <v>110</v>
      </c>
      <c r="G32" s="4" t="s">
        <v>111</v>
      </c>
    </row>
    <row r="33" customFormat="false" ht="14.25" hidden="false" customHeight="true" outlineLevel="0" collapsed="false">
      <c r="A33" s="13" t="s">
        <v>112</v>
      </c>
      <c r="B33" s="14" t="s">
        <v>113</v>
      </c>
      <c r="C33" s="14" t="n">
        <f aca="false">G5</f>
        <v>34</v>
      </c>
      <c r="D33" s="14" t="n">
        <f aca="false">I5</f>
        <v>11</v>
      </c>
      <c r="E33" s="14" t="n">
        <f aca="false">J5</f>
        <v>16</v>
      </c>
      <c r="F33" s="15" t="n">
        <f aca="false">M5</f>
        <v>0.385964912280702</v>
      </c>
      <c r="G33" s="15" t="n">
        <f aca="false">P5</f>
        <v>0.56140350877193</v>
      </c>
    </row>
    <row r="34" customFormat="false" ht="14.25" hidden="false" customHeight="true" outlineLevel="0" collapsed="false">
      <c r="A34" s="13" t="s">
        <v>112</v>
      </c>
      <c r="B34" s="14" t="s">
        <v>114</v>
      </c>
      <c r="C34" s="14" t="n">
        <f aca="false">G6</f>
        <v>31</v>
      </c>
      <c r="D34" s="14" t="n">
        <f aca="false">I6</f>
        <v>2</v>
      </c>
      <c r="E34" s="14" t="n">
        <f aca="false">J6</f>
        <v>14</v>
      </c>
      <c r="F34" s="15" t="n">
        <f aca="false">M6</f>
        <v>0.0740740740740741</v>
      </c>
      <c r="G34" s="15" t="n">
        <f aca="false">P6</f>
        <v>0.518518518518519</v>
      </c>
    </row>
    <row r="35" customFormat="false" ht="14.25" hidden="false" customHeight="true" outlineLevel="0" collapsed="false">
      <c r="A35" s="13" t="s">
        <v>112</v>
      </c>
      <c r="B35" s="14" t="s">
        <v>115</v>
      </c>
      <c r="C35" s="14" t="n">
        <f aca="false">G10</f>
        <v>31</v>
      </c>
      <c r="D35" s="14" t="n">
        <f aca="false">I10</f>
        <v>2</v>
      </c>
      <c r="E35" s="14" t="n">
        <f aca="false">J10</f>
        <v>10</v>
      </c>
      <c r="F35" s="15" t="n">
        <f aca="false">M10</f>
        <v>0.0740740740740741</v>
      </c>
      <c r="G35" s="15" t="n">
        <f aca="false">P10</f>
        <v>0.37037037037037</v>
      </c>
    </row>
    <row r="36" customFormat="false" ht="14.25" hidden="false" customHeight="true" outlineLevel="0" collapsed="false">
      <c r="A36" s="13" t="s">
        <v>112</v>
      </c>
      <c r="B36" s="14" t="s">
        <v>116</v>
      </c>
      <c r="C36" s="14" t="n">
        <f aca="false">G14</f>
        <v>36</v>
      </c>
      <c r="D36" s="14" t="n">
        <f aca="false">I14</f>
        <v>2</v>
      </c>
      <c r="E36" s="14" t="n">
        <f aca="false">J14</f>
        <v>14</v>
      </c>
      <c r="F36" s="15" t="n">
        <f aca="false">M14</f>
        <v>0.0677966101694915</v>
      </c>
      <c r="G36" s="15" t="n">
        <f aca="false">P14</f>
        <v>0.474576271186441</v>
      </c>
    </row>
    <row r="37" customFormat="false" ht="14.25" hidden="false" customHeight="true" outlineLevel="0" collapsed="false">
      <c r="A37" s="13" t="s">
        <v>117</v>
      </c>
      <c r="B37" s="14" t="s">
        <v>114</v>
      </c>
      <c r="C37" s="14" t="n">
        <f aca="false">G7</f>
        <v>28</v>
      </c>
      <c r="D37" s="14" t="n">
        <f aca="false">I7</f>
        <v>6</v>
      </c>
      <c r="E37" s="14" t="n">
        <f aca="false">J7</f>
        <v>12</v>
      </c>
      <c r="F37" s="15" t="n">
        <f aca="false">M7</f>
        <v>0.235294117647059</v>
      </c>
      <c r="G37" s="15" t="n">
        <f aca="false">P7</f>
        <v>0.470588235294118</v>
      </c>
    </row>
    <row r="38" customFormat="false" ht="14.25" hidden="false" customHeight="true" outlineLevel="0" collapsed="false">
      <c r="A38" s="13" t="s">
        <v>117</v>
      </c>
      <c r="B38" s="14" t="s">
        <v>115</v>
      </c>
      <c r="C38" s="14" t="n">
        <f aca="false">G11</f>
        <v>36</v>
      </c>
      <c r="D38" s="14" t="n">
        <f aca="false">I11</f>
        <v>2</v>
      </c>
      <c r="E38" s="14" t="n">
        <f aca="false">J11</f>
        <v>16</v>
      </c>
      <c r="F38" s="15" t="n">
        <f aca="false">M11</f>
        <v>0.0677966101694915</v>
      </c>
      <c r="G38" s="15" t="n">
        <f aca="false">P11</f>
        <v>0.542372881355932</v>
      </c>
    </row>
    <row r="39" customFormat="false" ht="14.25" hidden="false" customHeight="true" outlineLevel="0" collapsed="false">
      <c r="A39" s="13" t="s">
        <v>117</v>
      </c>
      <c r="B39" s="14" t="s">
        <v>116</v>
      </c>
      <c r="C39" s="14" t="n">
        <f aca="false">G15</f>
        <v>27</v>
      </c>
      <c r="D39" s="14" t="n">
        <f aca="false">I15</f>
        <v>4</v>
      </c>
      <c r="E39" s="14" t="n">
        <f aca="false">J15</f>
        <v>8</v>
      </c>
      <c r="F39" s="15" t="n">
        <f aca="false">M15</f>
        <v>0.16</v>
      </c>
      <c r="G39" s="15" t="n">
        <f aca="false">P15</f>
        <v>0.32</v>
      </c>
    </row>
    <row r="40" customFormat="false" ht="14.25" hidden="false" customHeight="true" outlineLevel="0" collapsed="false">
      <c r="A40" s="13" t="s">
        <v>118</v>
      </c>
      <c r="B40" s="14" t="s">
        <v>114</v>
      </c>
      <c r="C40" s="14" t="n">
        <f aca="false">G8</f>
        <v>38</v>
      </c>
      <c r="D40" s="14" t="n">
        <f aca="false">I8</f>
        <v>1</v>
      </c>
      <c r="E40" s="14" t="n">
        <f aca="false">J8</f>
        <v>15</v>
      </c>
      <c r="F40" s="15" t="n">
        <f aca="false">M8</f>
        <v>0.0327868852459016</v>
      </c>
      <c r="G40" s="15" t="n">
        <f aca="false">P8</f>
        <v>0.491803278688525</v>
      </c>
    </row>
    <row r="41" customFormat="false" ht="14.25" hidden="false" customHeight="true" outlineLevel="0" collapsed="false">
      <c r="A41" s="13" t="s">
        <v>118</v>
      </c>
      <c r="B41" s="14" t="s">
        <v>115</v>
      </c>
      <c r="C41" s="14" t="n">
        <f aca="false">G12</f>
        <v>35</v>
      </c>
      <c r="D41" s="14" t="n">
        <f aca="false">I12</f>
        <v>0</v>
      </c>
      <c r="E41" s="14" t="n">
        <f aca="false">J12</f>
        <v>12</v>
      </c>
      <c r="F41" s="15" t="n">
        <f aca="false">M12</f>
        <v>0</v>
      </c>
      <c r="G41" s="15" t="n">
        <f aca="false">P12</f>
        <v>0.413793103448276</v>
      </c>
    </row>
    <row r="42" customFormat="false" ht="14.25" hidden="false" customHeight="false" outlineLevel="0" collapsed="false">
      <c r="A42" s="13" t="s">
        <v>118</v>
      </c>
      <c r="B42" s="14" t="s">
        <v>116</v>
      </c>
      <c r="C42" s="14" t="n">
        <f aca="false">G16</f>
        <v>38</v>
      </c>
      <c r="D42" s="14" t="n">
        <f aca="false">I16</f>
        <v>1</v>
      </c>
      <c r="E42" s="14" t="n">
        <f aca="false">J16</f>
        <v>14</v>
      </c>
      <c r="F42" s="15" t="n">
        <f aca="false">M16</f>
        <v>0.0327868852459016</v>
      </c>
      <c r="G42" s="15" t="n">
        <f aca="false">P16</f>
        <v>0.459016393442623</v>
      </c>
    </row>
    <row r="43" customFormat="false" ht="14.25" hidden="false" customHeight="true" outlineLevel="0" collapsed="false">
      <c r="A43" s="13" t="s">
        <v>119</v>
      </c>
      <c r="B43" s="14" t="s">
        <v>114</v>
      </c>
      <c r="C43" s="14" t="n">
        <f aca="false">G9</f>
        <v>23</v>
      </c>
      <c r="D43" s="14" t="n">
        <f aca="false">I9</f>
        <v>8</v>
      </c>
      <c r="E43" s="14" t="n">
        <f aca="false">J9</f>
        <v>8</v>
      </c>
      <c r="F43" s="15" t="n">
        <f aca="false">M9</f>
        <v>0.347826086956522</v>
      </c>
      <c r="G43" s="15" t="n">
        <f aca="false">P9</f>
        <v>0.347826086956522</v>
      </c>
    </row>
    <row r="44" customFormat="false" ht="27.75" hidden="false" customHeight="true" outlineLevel="0" collapsed="false">
      <c r="A44" s="13" t="s">
        <v>119</v>
      </c>
      <c r="B44" s="14" t="s">
        <v>115</v>
      </c>
      <c r="C44" s="14" t="n">
        <f aca="false">G13</f>
        <v>39</v>
      </c>
      <c r="D44" s="14" t="n">
        <f aca="false">I13</f>
        <v>7</v>
      </c>
      <c r="E44" s="14" t="n">
        <f aca="false">J13</f>
        <v>16</v>
      </c>
      <c r="F44" s="15" t="n">
        <f aca="false">M13</f>
        <v>0.225806451612903</v>
      </c>
      <c r="G44" s="15" t="n">
        <f aca="false">P13</f>
        <v>0.516129032258065</v>
      </c>
    </row>
    <row r="45" customFormat="false" ht="14.25" hidden="false" customHeight="true" outlineLevel="0" collapsed="false">
      <c r="A45" s="13" t="s">
        <v>119</v>
      </c>
      <c r="B45" s="14" t="s">
        <v>116</v>
      </c>
      <c r="C45" s="14" t="n">
        <f aca="false">G17</f>
        <v>43</v>
      </c>
      <c r="D45" s="14" t="n">
        <f aca="false">I17</f>
        <v>13</v>
      </c>
      <c r="E45" s="14" t="n">
        <f aca="false">J17</f>
        <v>15</v>
      </c>
      <c r="F45" s="15" t="n">
        <f aca="false">M17</f>
        <v>0.393939393939394</v>
      </c>
      <c r="G45" s="15" t="n">
        <f aca="false">P17</f>
        <v>0.454545454545455</v>
      </c>
    </row>
    <row r="46" customFormat="false" ht="14.25" hidden="false" customHeight="true" outlineLevel="0" collapsed="false">
      <c r="A46" s="13" t="s">
        <v>112</v>
      </c>
      <c r="B46" s="14" t="s">
        <v>120</v>
      </c>
      <c r="C46" s="14" t="n">
        <f aca="false">G18</f>
        <v>38</v>
      </c>
      <c r="D46" s="14" t="n">
        <f aca="false">I18</f>
        <v>2</v>
      </c>
      <c r="E46" s="14" t="n">
        <f aca="false">J18</f>
        <v>14</v>
      </c>
      <c r="F46" s="15" t="n">
        <f aca="false">M18</f>
        <v>0.0655737704918033</v>
      </c>
      <c r="G46" s="15" t="n">
        <f aca="false">P18</f>
        <v>0.459016393442623</v>
      </c>
    </row>
    <row r="47" customFormat="false" ht="14.25" hidden="false" customHeight="true" outlineLevel="0" collapsed="false">
      <c r="A47" s="13" t="s">
        <v>117</v>
      </c>
      <c r="B47" s="14" t="s">
        <v>120</v>
      </c>
      <c r="C47" s="14" t="n">
        <f aca="false">G19</f>
        <v>39</v>
      </c>
      <c r="D47" s="14" t="n">
        <f aca="false">I19</f>
        <v>8</v>
      </c>
      <c r="E47" s="14" t="n">
        <f aca="false">J19</f>
        <v>13</v>
      </c>
      <c r="F47" s="15" t="n">
        <f aca="false">M19</f>
        <v>0.258064516129032</v>
      </c>
      <c r="G47" s="15" t="n">
        <f aca="false">P19</f>
        <v>0.419354838709677</v>
      </c>
    </row>
    <row r="48" customFormat="false" ht="14.25" hidden="false" customHeight="true" outlineLevel="0" collapsed="false">
      <c r="A48" s="13" t="s">
        <v>118</v>
      </c>
      <c r="B48" s="14" t="s">
        <v>120</v>
      </c>
      <c r="C48" s="14" t="n">
        <f aca="false">G20</f>
        <v>52</v>
      </c>
      <c r="D48" s="14" t="n">
        <f aca="false">I20</f>
        <v>2</v>
      </c>
      <c r="E48" s="14" t="n">
        <f aca="false">J20</f>
        <v>19</v>
      </c>
      <c r="F48" s="15" t="n">
        <f aca="false">M20</f>
        <v>0.0533333333333333</v>
      </c>
      <c r="G48" s="15" t="n">
        <f aca="false">P20</f>
        <v>0.506666666666667</v>
      </c>
    </row>
    <row r="49" customFormat="false" ht="14.25" hidden="false" customHeight="false" outlineLevel="0" collapsed="false">
      <c r="A49" s="13" t="s">
        <v>119</v>
      </c>
      <c r="B49" s="14" t="s">
        <v>120</v>
      </c>
      <c r="C49" s="14" t="n">
        <f aca="false">G21</f>
        <v>34</v>
      </c>
      <c r="D49" s="14" t="n">
        <f aca="false">I21</f>
        <v>1</v>
      </c>
      <c r="E49" s="14" t="n">
        <f aca="false">J21</f>
        <v>14</v>
      </c>
      <c r="F49" s="15" t="n">
        <f aca="false">M21</f>
        <v>0.0350877192982456</v>
      </c>
      <c r="G49" s="15" t="n">
        <f aca="false">P21</f>
        <v>0.491228070175439</v>
      </c>
    </row>
    <row r="51" customFormat="false" ht="14.25" hidden="false" customHeight="false" outlineLevel="0" collapsed="false">
      <c r="A51" s="12" t="s">
        <v>121</v>
      </c>
      <c r="B51" s="12"/>
      <c r="C51" s="12"/>
      <c r="D51" s="12"/>
      <c r="E51" s="12"/>
      <c r="F51" s="12"/>
      <c r="G51" s="12"/>
    </row>
    <row r="52" customFormat="false" ht="23.85" hidden="false" customHeight="false" outlineLevel="0" collapsed="false">
      <c r="A52" s="4" t="s">
        <v>107</v>
      </c>
      <c r="B52" s="4" t="s">
        <v>122</v>
      </c>
      <c r="C52" s="4" t="s">
        <v>123</v>
      </c>
      <c r="D52" s="4" t="s">
        <v>124</v>
      </c>
      <c r="E52" s="4" t="s">
        <v>125</v>
      </c>
      <c r="F52" s="4" t="s">
        <v>126</v>
      </c>
      <c r="G52" s="4" t="s">
        <v>127</v>
      </c>
    </row>
    <row r="53" customFormat="false" ht="14.25" hidden="false" customHeight="false" outlineLevel="0" collapsed="false">
      <c r="A53" s="13" t="s">
        <v>112</v>
      </c>
      <c r="B53" s="14" t="n">
        <v>4</v>
      </c>
      <c r="C53" s="16" t="n">
        <f aca="false">AVERAGE(I6,I10,I14,I18)</f>
        <v>2</v>
      </c>
      <c r="D53" s="16" t="n">
        <f aca="false">AVERAGE(J6,J10,J14,J18)</f>
        <v>13</v>
      </c>
      <c r="E53" s="15" t="n">
        <f aca="false">AVERAGE(M6,M10,M14,M18)</f>
        <v>0.0703796322023607</v>
      </c>
      <c r="F53" s="15" t="n">
        <f aca="false">AVERAGE(P6,P10,P14,P18)</f>
        <v>0.455620388379488</v>
      </c>
      <c r="G53" s="14" t="n">
        <f aca="false">MAX(I6,I10,I14,I18)</f>
        <v>2</v>
      </c>
    </row>
    <row r="54" customFormat="false" ht="14.25" hidden="false" customHeight="false" outlineLevel="0" collapsed="false">
      <c r="A54" s="13" t="s">
        <v>117</v>
      </c>
      <c r="B54" s="14" t="n">
        <v>4</v>
      </c>
      <c r="C54" s="16" t="n">
        <f aca="false">AVERAGE(I7,I11,I15,I19)</f>
        <v>5</v>
      </c>
      <c r="D54" s="16" t="n">
        <f aca="false">AVERAGE(J7,J11,J15,J19)</f>
        <v>12.25</v>
      </c>
      <c r="E54" s="15" t="n">
        <f aca="false">AVERAGE(M7,M11,M15,M19)</f>
        <v>0.180288810986396</v>
      </c>
      <c r="F54" s="15" t="n">
        <f aca="false">AVERAGE(P7,P11,P15,P19)</f>
        <v>0.438078988839932</v>
      </c>
      <c r="G54" s="14" t="n">
        <f aca="false">MAX(I7,I11,I15,I19)</f>
        <v>8</v>
      </c>
    </row>
    <row r="55" customFormat="false" ht="14.25" hidden="false" customHeight="false" outlineLevel="0" collapsed="false">
      <c r="A55" s="13" t="s">
        <v>118</v>
      </c>
      <c r="B55" s="14" t="n">
        <v>4</v>
      </c>
      <c r="C55" s="16" t="n">
        <f aca="false">AVERAGE(I8,I12,I16,I20)</f>
        <v>1</v>
      </c>
      <c r="D55" s="16" t="n">
        <f aca="false">AVERAGE(J8,J12,J16,J20)</f>
        <v>15</v>
      </c>
      <c r="E55" s="15" t="n">
        <f aca="false">AVERAGE(M8,M12,M16,M20)</f>
        <v>0.0297267759562842</v>
      </c>
      <c r="F55" s="15" t="n">
        <f aca="false">AVERAGE(P8,P12,P16,P20)</f>
        <v>0.467819860561523</v>
      </c>
      <c r="G55" s="14" t="n">
        <f aca="false">MAX(I8,I12,I16,I20)</f>
        <v>2</v>
      </c>
    </row>
    <row r="56" customFormat="false" ht="14.25" hidden="false" customHeight="false" outlineLevel="0" collapsed="false">
      <c r="A56" s="13" t="s">
        <v>119</v>
      </c>
      <c r="B56" s="14" t="n">
        <v>4</v>
      </c>
      <c r="C56" s="16" t="n">
        <f aca="false">AVERAGE(I9,I13,I17,I21)</f>
        <v>7.25</v>
      </c>
      <c r="D56" s="16" t="n">
        <f aca="false">AVERAGE(J9,J13,J17,J21)</f>
        <v>13.25</v>
      </c>
      <c r="E56" s="15" t="n">
        <f aca="false">AVERAGE(M9,M13,M17,M21)</f>
        <v>0.250664912951766</v>
      </c>
      <c r="F56" s="15" t="n">
        <f aca="false">AVERAGE(P9,P13,P17,P21)</f>
        <v>0.45243216098387</v>
      </c>
      <c r="G56" s="14" t="n">
        <f aca="false">MAX(I9,I13,I17,I21)</f>
        <v>13</v>
      </c>
    </row>
  </sheetData>
  <mergeCells count="6">
    <mergeCell ref="A1:F1"/>
    <mergeCell ref="A2:F2"/>
    <mergeCell ref="A22:F22"/>
    <mergeCell ref="A29:G29"/>
    <mergeCell ref="A30:G30"/>
    <mergeCell ref="A51:G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customHeight="false" zeroHeight="false" outlineLevelRow="0" outlineLevelCol="0"/>
  <cols>
    <col collapsed="false" customWidth="true" hidden="false" outlineLevel="0" max="1" min="1" style="1" width="5"/>
    <col collapsed="false" customWidth="true" hidden="false" outlineLevel="0" max="2" min="2" style="1" width="50"/>
    <col collapsed="false" customWidth="true" hidden="false" outlineLevel="0" max="3" min="3" style="1" width="12"/>
    <col collapsed="false" customWidth="true" hidden="false" outlineLevel="0" max="4" min="4" style="1" width="22"/>
  </cols>
  <sheetData>
    <row r="1" customFormat="false" ht="17.25" hidden="false" customHeight="true" outlineLevel="0" collapsed="false">
      <c r="A1" s="2" t="s">
        <v>128</v>
      </c>
      <c r="B1" s="2"/>
      <c r="C1" s="2"/>
      <c r="D1" s="2"/>
    </row>
    <row r="2" customFormat="false" ht="15" hidden="false" customHeight="true" outlineLevel="0" collapsed="false">
      <c r="A2" s="3" t="s">
        <v>129</v>
      </c>
      <c r="B2" s="3"/>
      <c r="C2" s="3"/>
      <c r="D2" s="3"/>
    </row>
    <row r="4" customFormat="false" ht="15" hidden="false" customHeight="true" outlineLevel="0" collapsed="false">
      <c r="A4" s="4" t="s">
        <v>130</v>
      </c>
      <c r="B4" s="4" t="s">
        <v>131</v>
      </c>
      <c r="C4" s="4" t="s">
        <v>132</v>
      </c>
      <c r="D4" s="4" t="s">
        <v>133</v>
      </c>
    </row>
    <row r="5" customFormat="false" ht="15" hidden="false" customHeight="true" outlineLevel="0" collapsed="false">
      <c r="A5" s="17" t="n">
        <v>1</v>
      </c>
      <c r="B5" s="5" t="s">
        <v>134</v>
      </c>
      <c r="C5" s="18" t="s">
        <v>135</v>
      </c>
      <c r="D5" s="17" t="s">
        <v>136</v>
      </c>
    </row>
    <row r="6" customFormat="false" ht="15" hidden="false" customHeight="true" outlineLevel="0" collapsed="false">
      <c r="A6" s="17" t="n">
        <v>2</v>
      </c>
      <c r="B6" s="5" t="s">
        <v>137</v>
      </c>
      <c r="C6" s="19" t="s">
        <v>138</v>
      </c>
      <c r="D6" s="17" t="s">
        <v>136</v>
      </c>
    </row>
    <row r="7" customFormat="false" ht="15" hidden="false" customHeight="true" outlineLevel="0" collapsed="false">
      <c r="A7" s="17" t="n">
        <v>3</v>
      </c>
      <c r="B7" s="5" t="s">
        <v>139</v>
      </c>
      <c r="C7" s="19" t="s">
        <v>138</v>
      </c>
      <c r="D7" s="17" t="s">
        <v>140</v>
      </c>
    </row>
    <row r="8" customFormat="false" ht="15" hidden="false" customHeight="true" outlineLevel="0" collapsed="false">
      <c r="A8" s="17" t="n">
        <v>4</v>
      </c>
      <c r="B8" s="5" t="s">
        <v>141</v>
      </c>
      <c r="C8" s="19" t="s">
        <v>138</v>
      </c>
      <c r="D8" s="17" t="s">
        <v>140</v>
      </c>
    </row>
    <row r="9" customFormat="false" ht="23.25" hidden="false" customHeight="true" outlineLevel="0" collapsed="false">
      <c r="A9" s="17" t="n">
        <v>5</v>
      </c>
      <c r="B9" s="5" t="s">
        <v>142</v>
      </c>
      <c r="C9" s="20" t="s">
        <v>143</v>
      </c>
      <c r="D9" s="17" t="s">
        <v>140</v>
      </c>
    </row>
    <row r="10" customFormat="false" ht="15" hidden="false" customHeight="true" outlineLevel="0" collapsed="false">
      <c r="A10" s="17" t="n">
        <v>6</v>
      </c>
      <c r="B10" s="5" t="s">
        <v>144</v>
      </c>
      <c r="C10" s="19" t="s">
        <v>138</v>
      </c>
      <c r="D10" s="17" t="s">
        <v>145</v>
      </c>
    </row>
    <row r="11" customFormat="false" ht="15" hidden="false" customHeight="true" outlineLevel="0" collapsed="false">
      <c r="A11" s="17" t="n">
        <v>7</v>
      </c>
      <c r="B11" s="5" t="s">
        <v>146</v>
      </c>
      <c r="C11" s="19" t="s">
        <v>138</v>
      </c>
      <c r="D11" s="17" t="s">
        <v>145</v>
      </c>
    </row>
    <row r="12" customFormat="false" ht="15" hidden="false" customHeight="true" outlineLevel="0" collapsed="false">
      <c r="A12" s="17" t="n">
        <v>8</v>
      </c>
      <c r="B12" s="5" t="s">
        <v>147</v>
      </c>
      <c r="C12" s="19" t="s">
        <v>138</v>
      </c>
      <c r="D12" s="17" t="s">
        <v>145</v>
      </c>
    </row>
    <row r="13" customFormat="false" ht="15" hidden="false" customHeight="true" outlineLevel="0" collapsed="false">
      <c r="A13" s="17" t="n">
        <v>9</v>
      </c>
      <c r="B13" s="5" t="s">
        <v>148</v>
      </c>
      <c r="C13" s="19" t="s">
        <v>138</v>
      </c>
      <c r="D13" s="17" t="s">
        <v>145</v>
      </c>
    </row>
    <row r="14" customFormat="false" ht="15" hidden="false" customHeight="true" outlineLevel="0" collapsed="false">
      <c r="A14" s="17" t="n">
        <v>10</v>
      </c>
      <c r="B14" s="5" t="s">
        <v>149</v>
      </c>
      <c r="C14" s="19" t="s">
        <v>138</v>
      </c>
      <c r="D14" s="17" t="s">
        <v>145</v>
      </c>
    </row>
    <row r="15" customFormat="false" ht="15" hidden="false" customHeight="true" outlineLevel="0" collapsed="false">
      <c r="A15" s="17" t="n">
        <v>11</v>
      </c>
      <c r="B15" s="5" t="s">
        <v>150</v>
      </c>
      <c r="C15" s="19" t="s">
        <v>138</v>
      </c>
      <c r="D15" s="17" t="s">
        <v>145</v>
      </c>
    </row>
    <row r="16" customFormat="false" ht="15" hidden="false" customHeight="true" outlineLevel="0" collapsed="false">
      <c r="A16" s="17" t="n">
        <v>12</v>
      </c>
      <c r="B16" s="5" t="s">
        <v>151</v>
      </c>
      <c r="C16" s="19" t="s">
        <v>138</v>
      </c>
      <c r="D16" s="17" t="s">
        <v>145</v>
      </c>
    </row>
    <row r="17" customFormat="false" ht="15" hidden="false" customHeight="true" outlineLevel="0" collapsed="false">
      <c r="A17" s="17" t="n">
        <v>13</v>
      </c>
      <c r="B17" s="5" t="s">
        <v>152</v>
      </c>
      <c r="C17" s="19" t="s">
        <v>138</v>
      </c>
      <c r="D17" s="17" t="s">
        <v>145</v>
      </c>
    </row>
    <row r="18" customFormat="false" ht="15" hidden="false" customHeight="true" outlineLevel="0" collapsed="false">
      <c r="A18" s="17" t="n">
        <v>14</v>
      </c>
      <c r="B18" s="5" t="s">
        <v>153</v>
      </c>
      <c r="C18" s="19" t="s">
        <v>138</v>
      </c>
      <c r="D18" s="17" t="s">
        <v>145</v>
      </c>
    </row>
    <row r="19" customFormat="false" ht="15" hidden="false" customHeight="true" outlineLevel="0" collapsed="false">
      <c r="A19" s="17" t="n">
        <v>15</v>
      </c>
      <c r="B19" s="5" t="s">
        <v>154</v>
      </c>
      <c r="C19" s="19" t="s">
        <v>138</v>
      </c>
      <c r="D19" s="17" t="s">
        <v>145</v>
      </c>
    </row>
    <row r="20" customFormat="false" ht="15" hidden="false" customHeight="true" outlineLevel="0" collapsed="false">
      <c r="A20" s="17" t="n">
        <v>16</v>
      </c>
      <c r="B20" s="5" t="s">
        <v>155</v>
      </c>
      <c r="C20" s="19" t="s">
        <v>138</v>
      </c>
      <c r="D20" s="17" t="s">
        <v>145</v>
      </c>
    </row>
    <row r="21" customFormat="false" ht="15" hidden="false" customHeight="true" outlineLevel="0" collapsed="false">
      <c r="A21" s="17" t="n">
        <v>17</v>
      </c>
      <c r="B21" s="5" t="s">
        <v>156</v>
      </c>
      <c r="C21" s="19" t="s">
        <v>138</v>
      </c>
      <c r="D21" s="17" t="s">
        <v>145</v>
      </c>
    </row>
    <row r="22" customFormat="false" ht="15" hidden="false" customHeight="true" outlineLevel="0" collapsed="false">
      <c r="A22" s="17" t="n">
        <v>18</v>
      </c>
      <c r="B22" s="5" t="s">
        <v>157</v>
      </c>
      <c r="C22" s="20" t="s">
        <v>143</v>
      </c>
      <c r="D22" s="17" t="s">
        <v>145</v>
      </c>
    </row>
    <row r="23" customFormat="false" ht="15" hidden="false" customHeight="true" outlineLevel="0" collapsed="false">
      <c r="A23" s="17" t="n">
        <v>19</v>
      </c>
      <c r="B23" s="5" t="s">
        <v>158</v>
      </c>
      <c r="C23" s="20" t="s">
        <v>143</v>
      </c>
      <c r="D23" s="17" t="s">
        <v>145</v>
      </c>
    </row>
    <row r="24" customFormat="false" ht="15" hidden="false" customHeight="true" outlineLevel="0" collapsed="false">
      <c r="A24" s="17" t="n">
        <v>20</v>
      </c>
      <c r="B24" s="5" t="s">
        <v>159</v>
      </c>
      <c r="C24" s="20" t="s">
        <v>143</v>
      </c>
      <c r="D24" s="17" t="s">
        <v>145</v>
      </c>
    </row>
    <row r="25" customFormat="false" ht="15" hidden="false" customHeight="true" outlineLevel="0" collapsed="false">
      <c r="A25" s="17" t="n">
        <v>21</v>
      </c>
      <c r="B25" s="5" t="s">
        <v>160</v>
      </c>
      <c r="C25" s="20" t="s">
        <v>143</v>
      </c>
      <c r="D25" s="17" t="s">
        <v>145</v>
      </c>
    </row>
    <row r="26" customFormat="false" ht="15" hidden="false" customHeight="true" outlineLevel="0" collapsed="false">
      <c r="A26" s="17" t="n">
        <v>22</v>
      </c>
      <c r="B26" s="5" t="s">
        <v>161</v>
      </c>
      <c r="C26" s="20" t="s">
        <v>143</v>
      </c>
      <c r="D26" s="17" t="s">
        <v>145</v>
      </c>
    </row>
    <row r="27" customFormat="false" ht="15" hidden="false" customHeight="true" outlineLevel="0" collapsed="false">
      <c r="A27" s="17" t="n">
        <v>23</v>
      </c>
      <c r="B27" s="5" t="s">
        <v>162</v>
      </c>
      <c r="C27" s="20" t="s">
        <v>143</v>
      </c>
      <c r="D27" s="17" t="s">
        <v>145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customHeight="false" zeroHeight="false" outlineLevelRow="0" outlineLevelCol="0"/>
  <cols>
    <col collapsed="false" customWidth="true" hidden="false" outlineLevel="0" max="1" min="1" style="1" width="24"/>
    <col collapsed="false" customWidth="true" hidden="false" outlineLevel="0" max="2" min="2" style="1" width="55"/>
    <col collapsed="false" customWidth="true" hidden="false" outlineLevel="0" max="3" min="3" style="1" width="22"/>
    <col collapsed="false" customWidth="true" hidden="false" outlineLevel="0" max="4" min="4" style="1" width="26"/>
  </cols>
  <sheetData>
    <row r="1" customFormat="false" ht="17.25" hidden="false" customHeight="true" outlineLevel="0" collapsed="false">
      <c r="A1" s="2" t="s">
        <v>163</v>
      </c>
      <c r="B1" s="2"/>
      <c r="C1" s="2"/>
      <c r="D1" s="2"/>
    </row>
    <row r="2" customFormat="false" ht="15" hidden="false" customHeight="true" outlineLevel="0" collapsed="false">
      <c r="A2" s="3" t="s">
        <v>164</v>
      </c>
      <c r="B2" s="3"/>
      <c r="C2" s="3"/>
      <c r="D2" s="3"/>
    </row>
    <row r="4" customFormat="false" ht="15" hidden="false" customHeight="true" outlineLevel="0" collapsed="false">
      <c r="A4" s="4" t="s">
        <v>165</v>
      </c>
      <c r="B4" s="4" t="s">
        <v>166</v>
      </c>
      <c r="C4" s="4" t="s">
        <v>167</v>
      </c>
      <c r="D4" s="4" t="s">
        <v>168</v>
      </c>
    </row>
    <row r="5" customFormat="false" ht="60" hidden="false" customHeight="true" outlineLevel="0" collapsed="false">
      <c r="A5" s="5" t="s">
        <v>169</v>
      </c>
      <c r="B5" s="5" t="s">
        <v>170</v>
      </c>
      <c r="C5" s="5" t="s">
        <v>171</v>
      </c>
      <c r="D5" s="5" t="s">
        <v>172</v>
      </c>
    </row>
    <row r="6" customFormat="false" ht="60" hidden="false" customHeight="true" outlineLevel="0" collapsed="false">
      <c r="A6" s="5" t="s">
        <v>173</v>
      </c>
      <c r="B6" s="5" t="s">
        <v>174</v>
      </c>
      <c r="C6" s="5" t="s">
        <v>175</v>
      </c>
      <c r="D6" s="5" t="s">
        <v>172</v>
      </c>
    </row>
    <row r="7" customFormat="false" ht="60" hidden="false" customHeight="true" outlineLevel="0" collapsed="false">
      <c r="A7" s="5" t="s">
        <v>176</v>
      </c>
      <c r="B7" s="5" t="s">
        <v>177</v>
      </c>
      <c r="C7" s="5" t="s">
        <v>178</v>
      </c>
      <c r="D7" s="5" t="s">
        <v>179</v>
      </c>
    </row>
    <row r="8" customFormat="false" ht="60" hidden="false" customHeight="true" outlineLevel="0" collapsed="false">
      <c r="A8" s="5" t="s">
        <v>180</v>
      </c>
      <c r="B8" s="5" t="s">
        <v>181</v>
      </c>
      <c r="C8" s="5" t="s">
        <v>182</v>
      </c>
      <c r="D8" s="5" t="s">
        <v>183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2026-09-06T12:24:48Z</dcterms:created>
  <dc:creator>openpyxl</dc:creator>
  <dc:description/>
  <dc:language>en-US</dc:language>
  <cp:lastModifiedBy>Marcus Ellul</cp:lastModifiedBy>
  <dcterms:modified xsi:type="dcterms:W3CDTF">2026-09-07T12:58:46Z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