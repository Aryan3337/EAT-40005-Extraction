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66925"/>
  <mc:AlternateContent xmlns:mc="http://schemas.openxmlformats.org/markup-compatibility/2006">
    <mc:Choice Requires="x15">
      <x15ac:absPath xmlns:x15ac="http://schemas.microsoft.com/office/spreadsheetml/2010/11/ac" url="https://liveswinburneeduau-my.sharepoint.com/personal/103594069_student_swin_edu_au/Documents/EAT40005 Shared Folder/Research/Research Papers/KG_Extraction/Marcus + Sangeetha/"/>
    </mc:Choice>
  </mc:AlternateContent>
  <xr:revisionPtr revIDLastSave="1933" documentId="11_E60897F41BE170836B02CE998F75CCDC64E183C8" xr6:coauthVersionLast="47" xr6:coauthVersionMax="47" xr10:uidLastSave="{ED39F74E-CCB4-43DA-AD24-E1459A8A6D45}"/>
  <bookViews>
    <workbookView xWindow="-98" yWindow="-98" windowWidth="21795" windowHeight="12975" xr2:uid="{00000000-000D-0000-FFFF-FFFF00000000}"/>
  </bookViews>
  <sheets>
    <sheet name="Instructions" sheetId="1" r:id="rId1"/>
    <sheet name="Paper Details" sheetId="2" r:id="rId2"/>
    <sheet name="Sentence Extraction" sheetId="3" r:id="rId3"/>
    <sheet name="Subject ID" sheetId="4" r:id="rId4"/>
    <sheet name="Fact Extraction" sheetId="5" r:id="rId5"/>
    <sheet name="Relationships" sheetId="6" r:id="rId6"/>
    <sheet name="Cross-Match" sheetId="7" r:id="rId7"/>
    <sheet name="Final Triples"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 i="7" l="1"/>
  <c r="D38" i="7"/>
  <c r="F34" i="6"/>
  <c r="B34" i="7" s="1"/>
  <c r="C124" i="7"/>
  <c r="C125" i="7"/>
  <c r="C123" i="7"/>
  <c r="C120" i="7"/>
  <c r="C119" i="7"/>
  <c r="C117" i="7"/>
  <c r="C118" i="7"/>
  <c r="C114" i="7"/>
  <c r="C115" i="7"/>
  <c r="C116" i="7"/>
  <c r="C113" i="7"/>
  <c r="C111" i="7"/>
  <c r="D67" i="7"/>
  <c r="D90" i="7"/>
  <c r="D89" i="7"/>
  <c r="D88" i="7"/>
  <c r="D87" i="7"/>
  <c r="D84" i="7"/>
  <c r="D74" i="7"/>
  <c r="D75" i="7"/>
  <c r="D76" i="7"/>
  <c r="D77" i="7"/>
  <c r="D78" i="7"/>
  <c r="D79" i="7"/>
  <c r="D80" i="7"/>
  <c r="D73" i="7"/>
  <c r="D72" i="7"/>
  <c r="D70" i="7"/>
  <c r="D71" i="7"/>
  <c r="D69" i="7"/>
  <c r="D68" i="7"/>
  <c r="D64" i="7"/>
  <c r="D62" i="7"/>
  <c r="D60" i="7"/>
  <c r="D56" i="7"/>
  <c r="D57" i="7"/>
  <c r="D58" i="7"/>
  <c r="D55" i="7"/>
  <c r="B50" i="7"/>
  <c r="D41" i="7"/>
  <c r="D37" i="7"/>
  <c r="B26" i="7"/>
  <c r="B4" i="7"/>
  <c r="D4" i="7" s="1"/>
  <c r="B5" i="7"/>
  <c r="B6" i="7"/>
  <c r="D6" i="7" s="1"/>
  <c r="B7" i="7"/>
  <c r="D7" i="7" s="1"/>
  <c r="B8" i="7"/>
  <c r="B10" i="7"/>
  <c r="B11" i="7"/>
  <c r="B12" i="7"/>
  <c r="B13" i="7"/>
  <c r="B14" i="7"/>
  <c r="B15" i="7"/>
  <c r="B16" i="7"/>
  <c r="D16" i="7" s="1"/>
  <c r="B17" i="7"/>
  <c r="D17" i="7" s="1"/>
  <c r="B18" i="7"/>
  <c r="B19" i="7"/>
  <c r="D19" i="7" s="1"/>
  <c r="B20" i="7"/>
  <c r="B21" i="7"/>
  <c r="B22" i="7"/>
  <c r="B23" i="7"/>
  <c r="B27" i="7"/>
  <c r="D27" i="7" s="1"/>
  <c r="B28" i="7"/>
  <c r="B29" i="7"/>
  <c r="D29" i="7" s="1"/>
  <c r="B30" i="7"/>
  <c r="B31" i="7"/>
  <c r="D31" i="7" s="1"/>
  <c r="B32" i="7"/>
  <c r="B33" i="7"/>
  <c r="B35" i="7"/>
  <c r="D35" i="7" s="1"/>
  <c r="B36" i="7"/>
  <c r="B37" i="7"/>
  <c r="B38" i="7"/>
  <c r="B39" i="7"/>
  <c r="B40" i="7"/>
  <c r="B41" i="7"/>
  <c r="B42" i="7"/>
  <c r="D42" i="7" s="1"/>
  <c r="B43" i="7"/>
  <c r="D43" i="7" s="1"/>
  <c r="B44" i="7"/>
  <c r="B45" i="7"/>
  <c r="B46" i="7"/>
  <c r="D46" i="7" s="1"/>
  <c r="B47" i="7"/>
  <c r="D47" i="7" s="1"/>
  <c r="B48" i="7"/>
  <c r="B49" i="7"/>
  <c r="B51" i="7"/>
  <c r="B52" i="7"/>
  <c r="D52" i="7" s="1"/>
  <c r="B53" i="7"/>
  <c r="D53" i="7" s="1"/>
  <c r="B54" i="7"/>
  <c r="D54" i="7" s="1"/>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D91" i="7" s="1"/>
  <c r="B92" i="7"/>
  <c r="D92" i="7" s="1"/>
  <c r="B93" i="7"/>
  <c r="B94" i="7"/>
  <c r="B95" i="7"/>
  <c r="B96" i="7"/>
  <c r="B97" i="7"/>
  <c r="D97" i="7" s="1"/>
  <c r="B98" i="7"/>
  <c r="D98" i="7" s="1"/>
  <c r="B99" i="7"/>
  <c r="D99" i="7" s="1"/>
  <c r="B100" i="7"/>
  <c r="D100" i="7" s="1"/>
  <c r="B101" i="7"/>
  <c r="D101" i="7" s="1"/>
  <c r="B102" i="7"/>
  <c r="D102" i="7" s="1"/>
  <c r="B104" i="7"/>
  <c r="B105" i="7"/>
  <c r="B106" i="7"/>
  <c r="D23" i="7"/>
  <c r="D14" i="7"/>
  <c r="D13" i="7"/>
  <c r="D12" i="7"/>
  <c r="D11" i="7"/>
  <c r="D10" i="7"/>
  <c r="D9" i="7"/>
  <c r="D8" i="7"/>
  <c r="D5" i="7"/>
  <c r="F4" i="6"/>
  <c r="F5" i="6"/>
  <c r="F6" i="6"/>
  <c r="F7" i="6"/>
  <c r="F8" i="6"/>
  <c r="F9" i="6"/>
  <c r="B9" i="7" s="1"/>
  <c r="F10" i="6"/>
  <c r="F11" i="6"/>
  <c r="F12" i="6"/>
  <c r="F13" i="6"/>
  <c r="F14" i="6"/>
  <c r="F15" i="6"/>
  <c r="F16" i="6"/>
  <c r="F17" i="6"/>
  <c r="F18" i="6"/>
  <c r="F19" i="6"/>
  <c r="F20" i="6"/>
  <c r="F21" i="6"/>
  <c r="F22" i="6"/>
  <c r="F23" i="6"/>
  <c r="F24" i="6"/>
  <c r="B24" i="7" s="1"/>
  <c r="D24" i="7" s="1"/>
  <c r="F25" i="6"/>
  <c r="B25" i="7" s="1"/>
  <c r="F26" i="6"/>
  <c r="F27" i="6"/>
  <c r="F28" i="6"/>
  <c r="F29" i="6"/>
  <c r="F30" i="6"/>
  <c r="F31" i="6"/>
  <c r="F32" i="6"/>
  <c r="F33"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B103" i="7" s="1"/>
  <c r="F104" i="6"/>
  <c r="F105" i="6"/>
  <c r="F106" i="6"/>
  <c r="F107" i="6"/>
  <c r="F108"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C29" i="6"/>
  <c r="C4" i="6"/>
  <c r="C5" i="6"/>
  <c r="C6" i="6"/>
  <c r="C7" i="6"/>
  <c r="C8" i="6"/>
  <c r="C9" i="6"/>
  <c r="C10" i="6"/>
  <c r="C11" i="6"/>
  <c r="C12" i="6"/>
  <c r="C13" i="6"/>
  <c r="C14" i="6"/>
  <c r="C15" i="6"/>
  <c r="C16" i="6"/>
  <c r="C17" i="6"/>
  <c r="C18" i="6"/>
  <c r="C19" i="6"/>
  <c r="C20" i="6"/>
  <c r="C21" i="6"/>
  <c r="C22" i="6"/>
  <c r="C23" i="6"/>
  <c r="C24" i="6"/>
  <c r="C25" i="6"/>
  <c r="C26" i="6"/>
  <c r="C27" i="6"/>
  <c r="C28"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4" i="6"/>
  <c r="B5" i="6"/>
  <c r="B6" i="6"/>
  <c r="B7" i="6"/>
  <c r="B8" i="6"/>
  <c r="B9" i="6"/>
  <c r="B10" i="6"/>
  <c r="B11" i="6"/>
  <c r="B12" i="6"/>
  <c r="B13" i="6"/>
  <c r="B14" i="6"/>
  <c r="B15" i="6"/>
  <c r="B16" i="6"/>
  <c r="B17" i="6"/>
  <c r="B18" i="6"/>
  <c r="B19" i="6"/>
  <c r="B20" i="6"/>
  <c r="B21" i="6"/>
  <c r="B22" i="6"/>
  <c r="B23" i="6"/>
  <c r="B24" i="6"/>
  <c r="B25" i="6"/>
  <c r="B26" i="6"/>
  <c r="B27" i="6"/>
  <c r="B28" i="6"/>
  <c r="B29" i="6"/>
  <c r="B30" i="6"/>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4" i="4"/>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83" i="4"/>
  <c r="B84" i="4"/>
  <c r="B85" i="4"/>
  <c r="B86" i="4"/>
  <c r="B87" i="4"/>
  <c r="B88" i="4"/>
  <c r="B89" i="4"/>
  <c r="B90" i="4"/>
  <c r="B91" i="4"/>
  <c r="B92" i="4"/>
  <c r="B93" i="4"/>
  <c r="B94" i="4"/>
  <c r="B95" i="4"/>
  <c r="B96" i="4"/>
  <c r="B97" i="4"/>
  <c r="B98" i="4"/>
  <c r="B99" i="4"/>
  <c r="B100" i="4"/>
  <c r="B101" i="4"/>
  <c r="B102" i="4"/>
  <c r="B103" i="4"/>
  <c r="B104" i="4"/>
  <c r="B105" i="4"/>
  <c r="B106" i="4"/>
  <c r="B107" i="4"/>
  <c r="B108"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43" i="4"/>
  <c r="B44" i="4"/>
  <c r="B45" i="4"/>
  <c r="B46" i="4"/>
  <c r="B47" i="4"/>
  <c r="B48" i="4"/>
  <c r="B49" i="4"/>
  <c r="B50" i="4"/>
  <c r="B51" i="4"/>
  <c r="B52" i="4"/>
  <c r="B38" i="4"/>
  <c r="B39" i="4"/>
  <c r="B40" i="4"/>
  <c r="B41" i="4"/>
  <c r="B42" i="4"/>
  <c r="B31" i="4"/>
  <c r="B32" i="4"/>
  <c r="B33" i="4"/>
  <c r="B34" i="4"/>
  <c r="B35" i="4"/>
  <c r="B36" i="4"/>
  <c r="B37" i="4"/>
  <c r="B5" i="4"/>
  <c r="B6" i="4"/>
  <c r="B7" i="4"/>
  <c r="B8" i="4"/>
  <c r="B9" i="4"/>
  <c r="B10" i="4"/>
  <c r="B11" i="4"/>
  <c r="B12" i="4"/>
  <c r="B13" i="4"/>
  <c r="B14" i="4"/>
  <c r="B15" i="4"/>
  <c r="B16" i="4"/>
  <c r="B17" i="4"/>
  <c r="B18" i="4"/>
  <c r="B19" i="4"/>
  <c r="B20" i="4"/>
  <c r="B21" i="4"/>
  <c r="B22" i="4"/>
  <c r="B23" i="4"/>
  <c r="B24" i="4"/>
  <c r="B25" i="4"/>
  <c r="B26" i="4"/>
  <c r="B27" i="4"/>
  <c r="B28" i="4"/>
  <c r="B29" i="4"/>
  <c r="B30" i="4"/>
  <c r="B4" i="4"/>
</calcChain>
</file>

<file path=xl/sharedStrings.xml><?xml version="1.0" encoding="utf-8"?>
<sst xmlns="http://schemas.openxmlformats.org/spreadsheetml/2006/main" count="2389" uniqueCount="1083">
  <si>
    <t>Knowledge Graph Extraction — How to Use This File</t>
  </si>
  <si>
    <t>EAT40005 P85  |  One file per person per paper  |  Fill the sheets in order</t>
  </si>
  <si>
    <t>What is this file?</t>
  </si>
  <si>
    <t>You will read one research paper about the Garo (Mannadhi) community in Bangladesh. As you read, you fill in this file step by step. Each sheet is one step. At the end, you will have a list of facts and connections from the paper — this is the knowledge graph.</t>
  </si>
  <si>
    <t>Sheets in this file — fill them in this order:</t>
  </si>
  <si>
    <t>Sheet</t>
  </si>
  <si>
    <t>What you do</t>
  </si>
  <si>
    <t>Paper Details</t>
  </si>
  <si>
    <t>Write the paper title, authors, year, and other basic information.</t>
  </si>
  <si>
    <t>Sentence Extraction</t>
  </si>
  <si>
    <t>Copy sentences from the paper that tell you something about the community.</t>
  </si>
  <si>
    <t>Subject ID</t>
  </si>
  <si>
    <t>For each sentence, write WHO or WHAT the sentence is mainly about.</t>
  </si>
  <si>
    <t>Fact Extraction</t>
  </si>
  <si>
    <t>Rewrite each sentence as one short, simple fact. Example: 'Garo women are skilled beauticians.'</t>
  </si>
  <si>
    <t>Relationships</t>
  </si>
  <si>
    <t>Write each fact as: (Thing A)-[:CONNECTION]-&gt;(Thing B). Example: (GaroWomen)-[:ARE_KNOWN_AS]-&gt;(SkilledBeauticians)</t>
  </si>
  <si>
    <t>Cross-Match</t>
  </si>
  <si>
    <t>After you and your partner both finish separately, compare your answers and agree on one final version.</t>
  </si>
  <si>
    <t>Important rules:</t>
  </si>
  <si>
    <t>Work alone first</t>
  </si>
  <si>
    <t>Do NOT share your answers with your partner until the Cross-Match step.</t>
  </si>
  <si>
    <t>Always write the sentence number</t>
  </si>
  <si>
    <t>Every row in Steps 2, 3, and 4 needs a sentence number (S1, S2, S3...). This connects all the sheets together.</t>
  </si>
  <si>
    <t>When unsure, include it</t>
  </si>
  <si>
    <t>If you are not sure if a sentence is useful — write it down anyway. It is easy to remove later.</t>
  </si>
  <si>
    <t>No pronouns</t>
  </si>
  <si>
    <t>Never write 'they', 'it', or 'their'. Always write the full name. Example: write 'Garo community', not 'they'.</t>
  </si>
  <si>
    <t>Use the same spelling</t>
  </si>
  <si>
    <t>If you write 'GaroCommunity' once, use the exact same spelling every time. Capital letters matter.</t>
  </si>
  <si>
    <t>Check the location</t>
  </si>
  <si>
    <t>The paper should be about the community in the Madhupur area of Bangladesh. If it is a different area, write a note.</t>
  </si>
  <si>
    <t>Quick example — one sentence through all 4 steps:</t>
  </si>
  <si>
    <t>Step</t>
  </si>
  <si>
    <t>Example</t>
  </si>
  <si>
    <t>Original sentence (Step 1)</t>
  </si>
  <si>
    <t>"Garo women are renowned across Bangladesh as skilled beauticians."</t>
  </si>
  <si>
    <t>Subject (Step 2)</t>
  </si>
  <si>
    <t>Garo Women</t>
  </si>
  <si>
    <t>Simple fact (Step 3)</t>
  </si>
  <si>
    <t>Garo women are skilled beauticians.</t>
  </si>
  <si>
    <t>Relationship (Step 4)</t>
  </si>
  <si>
    <t>(GaroWomen)-[:ARE_KNOWN_AS]-&gt;(SkilledBeauticians)</t>
  </si>
  <si>
    <t>Field</t>
  </si>
  <si>
    <t>Value</t>
  </si>
  <si>
    <t>Paper Title</t>
  </si>
  <si>
    <t>THE TRANSFORMATION OF LIVELIHOOD PRACTICES AMONG THE GARO COMMUNITY: A STUDY ON TANGAIL DISTRICT</t>
  </si>
  <si>
    <t>Authors</t>
  </si>
  <si>
    <t>Md. Masum Billah</t>
  </si>
  <si>
    <t>Year of Publication</t>
  </si>
  <si>
    <t>Journal / Conference</t>
  </si>
  <si>
    <t>International Journal of Education Humanities and Social Science, Vol. 6, No. 02</t>
  </si>
  <si>
    <t>DOI / URL</t>
  </si>
  <si>
    <t xml:space="preserve">https://doi.org/10.54922/IJEHSS.2023.0511  </t>
  </si>
  <si>
    <t>Extracted by (Name)</t>
  </si>
  <si>
    <t>Marcus</t>
  </si>
  <si>
    <t>Pair Member (Partner)</t>
  </si>
  <si>
    <t>Sangeetha</t>
  </si>
  <si>
    <t>Date of Extraction</t>
  </si>
  <si>
    <t>6/04/2026 - Ongoing</t>
  </si>
  <si>
    <t>Location of Study</t>
  </si>
  <si>
    <t>Madhupur Upazila, Tangail District, Bangladesh</t>
  </si>
  <si>
    <t>Community Studied</t>
  </si>
  <si>
    <t>Garo community (also called Mandi or Achchik)</t>
  </si>
  <si>
    <t>Peer-Reviewed?</t>
  </si>
  <si>
    <t>Yes -  ISSN: 2582-0745</t>
  </si>
  <si>
    <t>Usage Restrictions?</t>
  </si>
  <si>
    <t>No restrictions found</t>
  </si>
  <si>
    <t>Restriction Details?</t>
  </si>
  <si>
    <t>Relevance to Project</t>
  </si>
  <si>
    <t>This paper is useful because it covers a broad range of knowledge over a series of topics such as livelihood, culture and more.</t>
  </si>
  <si>
    <t>Step 1 - Informative Sentence Extraction</t>
  </si>
  <si>
    <t>Read the paper. Find sentences that tell you something about the Garo community - what they do, where they live, what they believe, or how they connect to other things. Copy the sentence exactly as it appears in the paper. Write the page number.</t>
  </si>
  <si>
    <t>Sentence #</t>
  </si>
  <si>
    <t>Page / Para</t>
  </si>
  <si>
    <t>Extracted Sentence (verbatim)</t>
  </si>
  <si>
    <t>Why informative (brief note)</t>
  </si>
  <si>
    <t>S1</t>
  </si>
  <si>
    <t>page 1, Introduction</t>
  </si>
  <si>
    <t xml:space="preserve"> The Garo community is one of the largest minority tribes in Bangladesh.</t>
  </si>
  <si>
    <t>Identity of the community</t>
  </si>
  <si>
    <t>S2</t>
  </si>
  <si>
    <t xml:space="preserve">They reside in several districts including Mymensingh, Netrakona, Jamalpur, Sherpur, Tangail, and Sunamganj. </t>
  </si>
  <si>
    <t>Location</t>
  </si>
  <si>
    <t>S3</t>
  </si>
  <si>
    <t>They migrated to Bangladesh from Tibet and Burma and refer to themselves as Mandi or Achchik depending on whether they live in the mountains or plains.</t>
  </si>
  <si>
    <t>Origin</t>
  </si>
  <si>
    <t>S4</t>
  </si>
  <si>
    <t xml:space="preserve">Garo community in Bangladesh are primarily an agricultural community. </t>
  </si>
  <si>
    <t>Livelihood</t>
  </si>
  <si>
    <t>S5</t>
  </si>
  <si>
    <t>The majority of Garo people are bilingual as they need to communicate in both Bengali and their native Garo language</t>
  </si>
  <si>
    <t>Language</t>
  </si>
  <si>
    <t>S6</t>
  </si>
  <si>
    <t>page 1-2, Introduction</t>
  </si>
  <si>
    <t>The Garos follow a matriarchal system where girls have property ownership and children use their mother's last name.</t>
  </si>
  <si>
    <t>Social structure</t>
  </si>
  <si>
    <t>S7</t>
  </si>
  <si>
    <t>page 2, Introduction</t>
  </si>
  <si>
    <t>In their system of inheritance, it is the women who receive all the property from their parents, while men are not entitled to any inheritance</t>
  </si>
  <si>
    <t>S8</t>
  </si>
  <si>
    <t>Despite being a non-literate society, the Garo people have a rich culture and belief system that includes supernatural beliefs, transmigration, and the immortality of  the  spirit</t>
  </si>
  <si>
    <t>Belief system</t>
  </si>
  <si>
    <t>S9</t>
  </si>
  <si>
    <t>The Garos have a festive culture and practice various rituals and customs, including producing their own alcoholic beverage called 'chu.'</t>
  </si>
  <si>
    <t>Traditions</t>
  </si>
  <si>
    <t>S10</t>
  </si>
  <si>
    <t xml:space="preserve">Their main livelihood\ is agriculture, but they also engage in handicrafts and other activities. </t>
  </si>
  <si>
    <t>S11</t>
  </si>
  <si>
    <t>page 2, Major Findings</t>
  </si>
  <si>
    <t>The Garo ethnic group are the largest minority group in Bangladesh</t>
  </si>
  <si>
    <t>Status</t>
  </si>
  <si>
    <t>S12</t>
  </si>
  <si>
    <t>.they believe that they originated from Tibet and then migrated to Meghalaya in India and various regions of Bangladesh including Madhupur,  Haluaghat, Dhubaura, Susang Durgapur, Srivardi, Nalitabari, Jhenaigati, Dharmapasha, Taherpur, and Bishwambarpur.</t>
  </si>
  <si>
    <t>S13</t>
  </si>
  <si>
    <t>The Garo community were isolated from the outside world before the British colonial rule in the late 18th and early 19th centuries.</t>
  </si>
  <si>
    <t>S14</t>
  </si>
  <si>
    <t>page 3, Major Findings</t>
  </si>
  <si>
    <t xml:space="preserve">the Garo or Granching' sub tribe first received their appellation of Garo and that appellation was elaborated to all the residents of the mountain and it turned debauched from Garo to Garo </t>
  </si>
  <si>
    <t>origin</t>
  </si>
  <si>
    <t>S15</t>
  </si>
  <si>
    <t xml:space="preserve"> they all share a common origin and have always considered themselves  portion of the same community</t>
  </si>
  <si>
    <t>S16</t>
  </si>
  <si>
    <t>There is a strong influence of Bengali language in Mandi, reflected in the use of Bengali words and sentence pattern.</t>
  </si>
  <si>
    <t>S17</t>
  </si>
  <si>
    <t xml:space="preserve"> nearly all of the of the respondents do not know their specific origins, some  respondents said that they came from India and others suggesting a Tibetan origin. </t>
  </si>
  <si>
    <t>S18</t>
  </si>
  <si>
    <t>page 3, Demographic Information</t>
  </si>
  <si>
    <t xml:space="preserve"> When I asked about their age, many were unsure and couldn't recall their exact age, and some had to rely on others for assistance.</t>
  </si>
  <si>
    <t>Self knowledge?</t>
  </si>
  <si>
    <t>S19</t>
  </si>
  <si>
    <t xml:space="preserve"> most respondents were unable to read or write</t>
  </si>
  <si>
    <t>Education</t>
  </si>
  <si>
    <t>S20</t>
  </si>
  <si>
    <t>occupations of their family members, and discovered that most were involved in agriculture, while others were students or employed in various services</t>
  </si>
  <si>
    <t>employment</t>
  </si>
  <si>
    <t>S21</t>
  </si>
  <si>
    <t>respondents had poor demographic backgrounds. Many were illiterate and belonged to vulnerable populations</t>
  </si>
  <si>
    <t>S22</t>
  </si>
  <si>
    <t>These individuals were unable to provide accurate information about their family and personal details, and they lacked the ability to sustain their livelihoods or enjoy modern amenities.</t>
  </si>
  <si>
    <t>Education / Livelihood</t>
  </si>
  <si>
    <t>S23</t>
  </si>
  <si>
    <t>their lack of education, they are not aware of the importance of family planning and do not prioritize the well-being of their family members.</t>
  </si>
  <si>
    <t>S24</t>
  </si>
  <si>
    <t>page 3, Attire</t>
  </si>
  <si>
    <t>Garo men wear lungis, genjis, trousers, and shirts.</t>
  </si>
  <si>
    <t>Attire</t>
  </si>
  <si>
    <t>S25</t>
  </si>
  <si>
    <t>Many of them prefer to wear lungis and also wrap a colorful thin towel, similar to a gamcha or dhuti, around their lower body</t>
  </si>
  <si>
    <t>S26</t>
  </si>
  <si>
    <t xml:space="preserve"> Garo women usually wear orna, sarees, blouses, kamij, petticoats, salwars, but they also wear at home their traditional costumes.</t>
  </si>
  <si>
    <t>S27</t>
  </si>
  <si>
    <t>During the British colonial rule, Garo men started wearing half-pants and shirts, and later, they began wearing dhutis and shirts.</t>
  </si>
  <si>
    <t>S28</t>
  </si>
  <si>
    <t xml:space="preserve"> In the past, Garo women used to formerly worn silver jewelry, however, only wealthy women now wear gold ornaments.</t>
  </si>
  <si>
    <t>S29</t>
  </si>
  <si>
    <t>According to some respondents, the traditional Garo attire consists of dakmanda, daksari, and gandu, but nowadays, they also wear lungis, shirts, and pants like most people.</t>
  </si>
  <si>
    <t>S30</t>
  </si>
  <si>
    <t>Garo men wear gamchas or dhutis, and women wear sarees, skirts, and trousers adorned with religious and natural motifs such as leaves, flowers, and the eyes of gods.</t>
  </si>
  <si>
    <t>S31</t>
  </si>
  <si>
    <t xml:space="preserve">Their clothing styles have names such as gando, katib, salchak, marang, unpon, and riking. </t>
  </si>
  <si>
    <t>S32</t>
  </si>
  <si>
    <t>page 4, Food habits</t>
  </si>
  <si>
    <t>The primary food of Garo people is rice, and they especially enjoy dried fish, particularly the puti species seen in  bhati area.</t>
  </si>
  <si>
    <t>Food</t>
  </si>
  <si>
    <t>S33</t>
  </si>
  <si>
    <t>They use a lot of green chili in their curries and enjoy a variety of vegetables such as brinjal, bottle gourd, pumpkin, chichinga, corolla, jheenga, and kidney beans.</t>
  </si>
  <si>
    <t>S34</t>
  </si>
  <si>
    <t>Garos have adopted many food habits from their Bengali neighbors and often consume rich foods like hotchpotch, pulao, and biriyani.</t>
  </si>
  <si>
    <t>S35</t>
  </si>
  <si>
    <t>However, they still have a fondness for Spirituous liquor, bamboo shoots, pork, mushrooms ,turtle, which they personally distill , is a necessary component for hosting guests,festivals. According to some respondents, the Garo diet includes rice, pork, beef, mutton, and vegetables.</t>
  </si>
  <si>
    <t>S36</t>
  </si>
  <si>
    <t>They generally prefer to eat healthy foods</t>
  </si>
  <si>
    <t>S37</t>
  </si>
  <si>
    <t>However, they previously consumed alcohol at home when they were younger.</t>
  </si>
  <si>
    <t>S38</t>
  </si>
  <si>
    <t>The Garo food culture has evolved with modern times, and people have started to eat more like the local population.</t>
  </si>
  <si>
    <t>S39</t>
  </si>
  <si>
    <t>The traditional wine drink used to be an essential element of their daily food, but because of their  christian values  they no longer using alcohol.</t>
  </si>
  <si>
    <t>Food / Religion</t>
  </si>
  <si>
    <t>S40</t>
  </si>
  <si>
    <t xml:space="preserve"> their favorite dishes include dried fish, pork, rabbit, donkey, beef, and chicken, which they produce themselves. </t>
  </si>
  <si>
    <t>S41</t>
  </si>
  <si>
    <t xml:space="preserve">They enjoy a drink called 'Chu' and consider it an important part of any program or event. </t>
  </si>
  <si>
    <t>S42</t>
  </si>
  <si>
    <t>page 4, Household</t>
  </si>
  <si>
    <t>traditional Garo houses in the hills are simple and contain minimal furniture, often just a bamboo floor or a raised platform.</t>
  </si>
  <si>
    <t>Household</t>
  </si>
  <si>
    <t>S43</t>
  </si>
  <si>
    <t>households possess wooden chairs, tables, stools, wardrobes, and steel almirahs.</t>
  </si>
  <si>
    <t>S44</t>
  </si>
  <si>
    <t>Household utensils and implements have also evolved, using earthenware replaced by metal as a sign of social distinction.</t>
  </si>
  <si>
    <t>S45</t>
  </si>
  <si>
    <t>plain and hill Garos use different types of baskets for various purposes, with varying shapes and construction materials</t>
  </si>
  <si>
    <t>S46</t>
  </si>
  <si>
    <t xml:space="preserve"> Some respondents said living in small, inadequate houses made of mud or thatch, but with time, their socio-economic conditions have changed and they now build their homes with tin, wood, and other materials</t>
  </si>
  <si>
    <t>S47</t>
  </si>
  <si>
    <t>some respondents noted improvements in medical facilities, others stated that access to healthcare was still inadequate</t>
  </si>
  <si>
    <t>S48</t>
  </si>
  <si>
    <t xml:space="preserve"> they now use modern materials like tin due to improvements in their socio-economic conditions</t>
  </si>
  <si>
    <t>S49</t>
  </si>
  <si>
    <t>page 4, Festival</t>
  </si>
  <si>
    <t>Garo celebrate seven main festivals from the beginning to the end of Jhum cultivation. These are Aaofata, Denabilsia, Agalmaka, Miamua, Rongchugalla, Jamegappa and Wangala.</t>
  </si>
  <si>
    <t>Celebrations</t>
  </si>
  <si>
    <t>S50</t>
  </si>
  <si>
    <t>now-a-days they are not dependent on Jhum cultivation</t>
  </si>
  <si>
    <t>S51</t>
  </si>
  <si>
    <t>.Currently, Garo community celebrates two major festivals: Wangala and Christmas Day.</t>
  </si>
  <si>
    <t>S52</t>
  </si>
  <si>
    <t>Wangala is considered the most significant festival and is celebrated after the rice harvesting season is over, typically between October and December</t>
  </si>
  <si>
    <t>S53</t>
  </si>
  <si>
    <t>It is ritual of "thanksgiving" in order to honor Misi-Saljong, additionally acquainted Pattigipa  Ra Rongipa or "The Great donor" for blessing them with a good rice harvest</t>
  </si>
  <si>
    <t>S54</t>
  </si>
  <si>
    <t>A day before festival of Wangala, a ritual called "Rugala" using the Nokma is performed, where the authentic rice beer along with offerings include vegetables ,boiled rice to Misi-Saljong.</t>
  </si>
  <si>
    <t>S55</t>
  </si>
  <si>
    <t>page 4-5, Festival</t>
  </si>
  <si>
    <t>The following day, the "chatso" ceremony performs by the Nokma, burning incense to signal the beginning at his home’s main pillar for the week-long Wangala festival, which has been a traditional practice for the Garo people for centuries</t>
  </si>
  <si>
    <t>S56</t>
  </si>
  <si>
    <t>page 5, Festival</t>
  </si>
  <si>
    <t xml:space="preserve">When Christmas Day arrives regarding the Garo community , they attend church before beginning the festivities. </t>
  </si>
  <si>
    <t>S57</t>
  </si>
  <si>
    <t>This day is a national holiday and is celebrated formally worldwide.</t>
  </si>
  <si>
    <t>S58</t>
  </si>
  <si>
    <t>Garo Christian friends and family exchange greetings of "Happy Christmas Day," which signifies celebrating the wonderful day, and offer traditional sweets and cakes.</t>
  </si>
  <si>
    <t>S59</t>
  </si>
  <si>
    <t xml:space="preserve"> According to many respondents, they prefer to celebrate "Wangala" because it is a traditional festival that still exists within  the  Garo</t>
  </si>
  <si>
    <t>S60</t>
  </si>
  <si>
    <t>However, some people from different castes have started celebrating it by themselves, which should not be happening since the festival is for the entire Garo community.</t>
  </si>
  <si>
    <t>S61</t>
  </si>
  <si>
    <t>The leaders organize this festival locally and centrally, and it is celebrated every year by october’s end</t>
  </si>
  <si>
    <t>S62</t>
  </si>
  <si>
    <t>The Garo community has undergone several cultural changes due to their conversion to Christianity.</t>
  </si>
  <si>
    <t>S63</t>
  </si>
  <si>
    <t>They now celebrate Christmas Day and follow Christian practices.</t>
  </si>
  <si>
    <t>S64</t>
  </si>
  <si>
    <t xml:space="preserve"> Garo community’s  traditional marital system is also disappearing.</t>
  </si>
  <si>
    <t>S65</t>
  </si>
  <si>
    <t>page 5, Religion</t>
  </si>
  <si>
    <t>The traditional religion of Garo people is called 'Sangsarek', in which they consider certain things and forces of nature to be powerful Gods.</t>
  </si>
  <si>
    <t>Religion</t>
  </si>
  <si>
    <t>S66</t>
  </si>
  <si>
    <t>They worship these Gods through various rituals in order to seek their blessings and protection from harm.</t>
  </si>
  <si>
    <t>S67</t>
  </si>
  <si>
    <t xml:space="preserve">The Garo people have faith in the power of the sun, stars, moon, thunder, and rain. </t>
  </si>
  <si>
    <t>S68</t>
  </si>
  <si>
    <t>They also have faith in a supreme God who created the universe and controls the other smaller Gods.</t>
  </si>
  <si>
    <t>S69</t>
  </si>
  <si>
    <t>The Garo people also have faith in the transmigration of souls after death.</t>
  </si>
  <si>
    <t>S70</t>
  </si>
  <si>
    <t>The departed soul travels to a place called Mong Sangram and then to Chikmang, where it meets other departed souls of relatives.</t>
  </si>
  <si>
    <t>S71</t>
  </si>
  <si>
    <t>It then rests at Missal Charms, where a judgment is made on the person's previous life deeds.</t>
  </si>
  <si>
    <t>S72</t>
  </si>
  <si>
    <t>If the spirit is virtuous, it will be transmigrated to the earth as an animal or a tree.</t>
  </si>
  <si>
    <t>S73</t>
  </si>
  <si>
    <t xml:space="preserve"> However, if someone dies with debt, their soul will be reborn as a dog.</t>
  </si>
  <si>
    <t>S74</t>
  </si>
  <si>
    <t>If someone commits suicide or is killed by a wild animal, their soul is believed to transform into a ghost, witch, or evil spirit responsible for various diseases, fear, and misfortune.</t>
  </si>
  <si>
    <t>S75</t>
  </si>
  <si>
    <t>.They worship several Gods, including Tatara, Saljong, Susime, and Calcame</t>
  </si>
  <si>
    <t>S76</t>
  </si>
  <si>
    <t>.They believes that only the Khamal (priest) can identify the presence and functions of the Gods, so they often seek the Khamal's help for the treatment of illnesses and for carrying out devotions.</t>
  </si>
  <si>
    <t>S77</t>
  </si>
  <si>
    <t>Garo people used to follow their traditional religion, which involved beliefs in spirits dwelling in trees, stones, and hills, and a complex system of mourning ceremonies to protect the soul of the deceased</t>
  </si>
  <si>
    <t>S78</t>
  </si>
  <si>
    <t xml:space="preserve"> Over time, many Garos converted to Christianity, influenced by the persuasive abilities of the missionaries and the allure of valuable gifts</t>
  </si>
  <si>
    <t>S79</t>
  </si>
  <si>
    <t>Some respondents attribute their conversion to Christianity to the persuasive abilities of Christian missionaries and foreigners influence who have gifted valuable items to their king</t>
  </si>
  <si>
    <t>S80</t>
  </si>
  <si>
    <t>Others have converted to Christianity due to a personal conviction in the teachings of the Bible and belief in God.</t>
  </si>
  <si>
    <t>S81</t>
  </si>
  <si>
    <t>The majority of Garos living in the study area of Madhupur have embraced Christianity, but there is still a significant portion that adheres to their traditional religion, Sangsarek.</t>
  </si>
  <si>
    <t>S82</t>
  </si>
  <si>
    <t>Some Garos have also converted to Islam or other religions.However, it is observed that after converting to Christianity, many Garos are disregarding their traditional customs and adopting new practices.</t>
  </si>
  <si>
    <t>S83</t>
  </si>
  <si>
    <t>page 6, Health</t>
  </si>
  <si>
    <t>,Garo community’s health status is in good shape</t>
  </si>
  <si>
    <t>Health</t>
  </si>
  <si>
    <t>S84</t>
  </si>
  <si>
    <t>The majority of Garo people attribute illnesses to displeasing God and Goddess or curse of inactive spirits</t>
  </si>
  <si>
    <t>S85</t>
  </si>
  <si>
    <t>Therefore, they offer sacrifices to appease the spirits and seek relief from their illnesses.</t>
  </si>
  <si>
    <t>S86</t>
  </si>
  <si>
    <t xml:space="preserve"> Garos consume diverse food items including natural vegetables and have preference for drinking wine made from boiled rice</t>
  </si>
  <si>
    <t>S87</t>
  </si>
  <si>
    <t>The Garo people unable to access to sufficient social amenities, particularly healthcare facilities that are functional and meet their needs.</t>
  </si>
  <si>
    <t>S88</t>
  </si>
  <si>
    <t xml:space="preserve"> They have to travel lengthy distance to access medical care in government hospitals.</t>
  </si>
  <si>
    <t>S89</t>
  </si>
  <si>
    <t>Moreover, several of the mission clinics located in the community do not possess adequate medical facilities, which is a major concern for the rural areas of Bangladesh.</t>
  </si>
  <si>
    <t>S90</t>
  </si>
  <si>
    <t>According to one respondent, when they fall ill, they usually seek treatment at government hospitals.</t>
  </si>
  <si>
    <t>S91</t>
  </si>
  <si>
    <t xml:space="preserve"> they have lack of  knowledge about health hygiene and treatment procedures, relying solely on traditional practices, but now they have received training and awareness from Christian missionaries and government organizations.</t>
  </si>
  <si>
    <t>S92</t>
  </si>
  <si>
    <t>Another respondent mentioned that while a hospital is present in the community, the services provided are insufficient, and in case of emergencies, they go to Madhupur or Mymensingh or Tangail   for better treatment.</t>
  </si>
  <si>
    <t>S93</t>
  </si>
  <si>
    <t>The Garo community experiences various health issues because of their ignorance about proper hygiene, sanitation, and disease prevention</t>
  </si>
  <si>
    <t>S94</t>
  </si>
  <si>
    <t>page 6, Occupation</t>
  </si>
  <si>
    <t>The Garos have been relying on nature and almost over 4000 years, jhum cultivation has been practiced.</t>
  </si>
  <si>
    <t>Occupation</t>
  </si>
  <si>
    <t>S95</t>
  </si>
  <si>
    <t>However, in recent times, some members of their community have started engaging in professions other than farming, such as fishing, to earn a better living.</t>
  </si>
  <si>
    <t>S96</t>
  </si>
  <si>
    <t>While farming remains the primary source of income for some families, others have diversified their sources of livelihood and are now engaged in teaching, employment, and business</t>
  </si>
  <si>
    <t>S97</t>
  </si>
  <si>
    <t>Many people in the community have migrated to cities in quest of better-paying jobs, such as day labor and garment work, as they find it difficult to sustain their families on income from agriculture alone.</t>
  </si>
  <si>
    <t>S98</t>
  </si>
  <si>
    <t>The primary occupation of Garo people is farming, which supports about more than 85% of the community.</t>
  </si>
  <si>
    <t>S99</t>
  </si>
  <si>
    <t xml:space="preserve"> A respondent said, there has been increasing the  rural-urban migration in the Garo community, with people leaving to study, receive medical treatment, find jobs, and seek economic opportunities in the city.</t>
  </si>
  <si>
    <t>S100</t>
  </si>
  <si>
    <t>page 7, Land Ownership</t>
  </si>
  <si>
    <t>Garo community traditionally follows a matrilineal system, which grants women significant authority, including ownership of land</t>
  </si>
  <si>
    <t>Land Ownership</t>
  </si>
  <si>
    <t>S101</t>
  </si>
  <si>
    <t>the matrilineal system is declining, and land ownership is becoming more equally shared between women and men.</t>
  </si>
  <si>
    <t>S102</t>
  </si>
  <si>
    <t xml:space="preserve">one respondent noted that the traditional ownership of  land by women has shifted, and both genders now have right to own land in their community. </t>
  </si>
  <si>
    <t>S103</t>
  </si>
  <si>
    <t>Another respondent shared that their wife owns four acres of land and that all family resources are under her ownership, even the family's house is in her name.</t>
  </si>
  <si>
    <t>S104</t>
  </si>
  <si>
    <t>Through my research, including interviews and observations, it has been determined that most Garo families once they owned land, but currently, only a small percentage (around 15-16%) have some form of land ownership.</t>
  </si>
  <si>
    <t>S105</t>
  </si>
  <si>
    <t>Despite advancements in technology, the Garo people still rely on subsistence economies, and approximately 85% are currently landless, even though they still indirectly involved in agriculture.</t>
  </si>
  <si>
    <t>Step 2 - Subject Identification</t>
  </si>
  <si>
    <t>Look at each sentence from Step 1. Ask: who or what is this sentence mainly about? Write it as the subject. Do not use pronouns, write the full name. Example write 'Garo Community', not 'they'</t>
  </si>
  <si>
    <t>Sentence (from step 1)</t>
  </si>
  <si>
    <t>Subject / Main entity</t>
  </si>
  <si>
    <t>Step 3 - Fact Extraction (Subject - Predicate - Object)</t>
  </si>
  <si>
    <t>Rewrite each sentence as one short, simple fact. Remove any extra words. Fromat: [Subject] [action or is] [Object]. Example: 'Garo women are skilled beauticians.' One row = one fact. If a sentence has two facts, use two rows.</t>
  </si>
  <si>
    <t>Sentence</t>
  </si>
  <si>
    <t>Core Fact (simplified statement)</t>
  </si>
  <si>
    <t>Subject (Node A)</t>
  </si>
  <si>
    <t>Predicate</t>
  </si>
  <si>
    <t>Object (Node B)</t>
  </si>
  <si>
    <t>GaroCommunity is biggest minority in Bangladesh</t>
  </si>
  <si>
    <t>GaroCommunity</t>
  </si>
  <si>
    <t>is one of</t>
  </si>
  <si>
    <t>LargestMinorityTribes</t>
  </si>
  <si>
    <t>GaroCommunity resides in Mymensingh, Netrakona, Jamalpur, Sherpur, Tangali and Sunamganj</t>
  </si>
  <si>
    <t>resides in</t>
  </si>
  <si>
    <t>MultipleDistrics</t>
  </si>
  <si>
    <t>GaroCommunity migrated from Tibet and Burma</t>
  </si>
  <si>
    <t>Migrated from</t>
  </si>
  <si>
    <t>Tibet, Burma</t>
  </si>
  <si>
    <t>GaroCommunity is primarily an agricultural community</t>
  </si>
  <si>
    <t>is primarily</t>
  </si>
  <si>
    <t>Agricultural</t>
  </si>
  <si>
    <t>GaroPeople speak Bengali and Garo language</t>
  </si>
  <si>
    <t>GaroPeople</t>
  </si>
  <si>
    <t>speaks</t>
  </si>
  <si>
    <t>Bengali</t>
  </si>
  <si>
    <t>GaorSociety follows a matriarchal system</t>
  </si>
  <si>
    <t>GaroSociety</t>
  </si>
  <si>
    <t>follow</t>
  </si>
  <si>
    <t>MatriarchalSystem</t>
  </si>
  <si>
    <t>GaroWomen receive all property inheritance from their parents</t>
  </si>
  <si>
    <t>GaroWomen</t>
  </si>
  <si>
    <t>receive</t>
  </si>
  <si>
    <t>Inheritance</t>
  </si>
  <si>
    <t>GaroCulture includes supernatural beliefs, transmigration, and spirit immortality</t>
  </si>
  <si>
    <t>GaroCulture</t>
  </si>
  <si>
    <t>includes</t>
  </si>
  <si>
    <t>SupernaturalBeliefs</t>
  </si>
  <si>
    <t>GaroCommunity practices various rituals and customs</t>
  </si>
  <si>
    <t>practices</t>
  </si>
  <si>
    <t>RitaulsAndCustoms</t>
  </si>
  <si>
    <t>GaroCommunity primary livelihood is agriculture</t>
  </si>
  <si>
    <t>main livelihood is</t>
  </si>
  <si>
    <t>Agriculture</t>
  </si>
  <si>
    <t>GaroCommunity is the largest minority group in Bangladesh</t>
  </si>
  <si>
    <t>is</t>
  </si>
  <si>
    <t>LargestMinorityGroups</t>
  </si>
  <si>
    <t>GaroCommunity originated from Tibet and migrated to Meghalaya and Bangladesh</t>
  </si>
  <si>
    <t>migrated to</t>
  </si>
  <si>
    <t>MeghalayaBangladesh</t>
  </si>
  <si>
    <t>GaroCommunity was isolated from the outside world before the British colonial rule</t>
  </si>
  <si>
    <t>was isolated before</t>
  </si>
  <si>
    <t>BritishColonialRule</t>
  </si>
  <si>
    <t>GaroSubtribe first received the name Garo</t>
  </si>
  <si>
    <t>GaroSubtribe</t>
  </si>
  <si>
    <t>first received name</t>
  </si>
  <si>
    <t>Garo</t>
  </si>
  <si>
    <t>GaroSubgroups share a common origin</t>
  </si>
  <si>
    <t>GaroSubgroups</t>
  </si>
  <si>
    <t>share</t>
  </si>
  <si>
    <t>BangaliLanguage has a strong influence on Mandi language</t>
  </si>
  <si>
    <t>BangaliLanguage</t>
  </si>
  <si>
    <t>influence on</t>
  </si>
  <si>
    <t>MandiLanguage</t>
  </si>
  <si>
    <t>GaroPeople have uncertain knowledge of their specific origins</t>
  </si>
  <si>
    <t>uncertain knowledge of</t>
  </si>
  <si>
    <t>SpecificOrigins</t>
  </si>
  <si>
    <t>GaroEducation results in uncertainty in their age</t>
  </si>
  <si>
    <t>GaroEducation</t>
  </si>
  <si>
    <t>results in</t>
  </si>
  <si>
    <t>AgeUncertainty</t>
  </si>
  <si>
    <t>GaroEducation results in high rates of illiteracy</t>
  </si>
  <si>
    <t>Illiteracy</t>
  </si>
  <si>
    <t>GaroOccupation is mostly agriculture</t>
  </si>
  <si>
    <t>GaroOccupation</t>
  </si>
  <si>
    <t>is mostly</t>
  </si>
  <si>
    <t>GaroPeople have high rates of illiteracy</t>
  </si>
  <si>
    <t>have high rates of</t>
  </si>
  <si>
    <t>GaroLivelihood includes low ability to sustain their life</t>
  </si>
  <si>
    <t>GaroLivelihood</t>
  </si>
  <si>
    <t>low ability to sustain their</t>
  </si>
  <si>
    <t>Life</t>
  </si>
  <si>
    <t>GaroEducation causes lack of family planning</t>
  </si>
  <si>
    <t>lack of</t>
  </si>
  <si>
    <t>FamilyPlanning</t>
  </si>
  <si>
    <t>GaroMen wear lungis, genjis, trousers, and shirts</t>
  </si>
  <si>
    <t>GaroMen</t>
  </si>
  <si>
    <t>wear</t>
  </si>
  <si>
    <t>Lungis, Genjis, Trousers, Shirts</t>
  </si>
  <si>
    <t>GaroMen prefer lungis and wrap a colourful towel around their lower body</t>
  </si>
  <si>
    <t xml:space="preserve">Wrap a </t>
  </si>
  <si>
    <t>ColourfulTowel</t>
  </si>
  <si>
    <t>GaroWomen wear orna, sarees, blouses, kamij, petticoats, salwars, and traditional costumes</t>
  </si>
  <si>
    <t>orna, sarees, blouses, kamij, petticoats, salwars, TraditionalCostumes</t>
  </si>
  <si>
    <t>GaroMen began wearing half-pants and shirts during the British colonial rule</t>
  </si>
  <si>
    <t>HalfPants, Shirts</t>
  </si>
  <si>
    <t>GaroWomen traditionally wore silver jewelry</t>
  </si>
  <si>
    <t xml:space="preserve">traditionally wore </t>
  </si>
  <si>
    <t>SilverJewelry</t>
  </si>
  <si>
    <t>Traditional GaroAttire consists of dakmanda, daksari, and gandu</t>
  </si>
  <si>
    <t>GaroAttire</t>
  </si>
  <si>
    <t xml:space="preserve">consists of </t>
  </si>
  <si>
    <t>Dakmanda, Daksari, Gandu</t>
  </si>
  <si>
    <t>GaroAttire has names, gando, katib, salchak, marang, unpon, riking</t>
  </si>
  <si>
    <t>has</t>
  </si>
  <si>
    <t>Gando, Katib, Salchak, Marang, Unpon, Riking</t>
  </si>
  <si>
    <t>GaroPeople primary food is rice</t>
  </si>
  <si>
    <t>primary food is</t>
  </si>
  <si>
    <t>Rice</t>
  </si>
  <si>
    <t>GaroPeople use a lot of green chilli in their curries</t>
  </si>
  <si>
    <t xml:space="preserve">a lot of </t>
  </si>
  <si>
    <t>GreenChilli, Curry</t>
  </si>
  <si>
    <t>GaroPeople have adopted food habits from Bengali</t>
  </si>
  <si>
    <t>have adopted food habits</t>
  </si>
  <si>
    <t>GaroPeople has fondness for liquor, bamboo shoots, port, mushrooms, and turtle</t>
  </si>
  <si>
    <t>has fondness for</t>
  </si>
  <si>
    <t>Liquor, BambooShoots, Port, Mushrooms, Turtle</t>
  </si>
  <si>
    <t>GaroPeople prefer healthy foods</t>
  </si>
  <si>
    <t xml:space="preserve">prefer </t>
  </si>
  <si>
    <t>HealthyFoods</t>
  </si>
  <si>
    <t>GaroCommunity used to consume alcohol younger</t>
  </si>
  <si>
    <t>used to</t>
  </si>
  <si>
    <t>Younger</t>
  </si>
  <si>
    <t>*</t>
  </si>
  <si>
    <t>GaroFood has evolved to eat more like local population</t>
  </si>
  <si>
    <t>GaroFood</t>
  </si>
  <si>
    <t>has evolved</t>
  </si>
  <si>
    <t>LocalPopulation</t>
  </si>
  <si>
    <t>GaroCommunity no longers drinks alcoholo due to Christian values</t>
  </si>
  <si>
    <t>no longer drinks alcohol</t>
  </si>
  <si>
    <t>ChristianValues</t>
  </si>
  <si>
    <t>GaroCommunity favourite dishes include drid fish, pork, rabbit, and chicken</t>
  </si>
  <si>
    <t xml:space="preserve"> favourite dishes include </t>
  </si>
  <si>
    <t>DriedFish, Pork, Rabbit, Chicken</t>
  </si>
  <si>
    <t>Chu is an important part of any Garo program or event</t>
  </si>
  <si>
    <t>Chu</t>
  </si>
  <si>
    <t>is an important part of</t>
  </si>
  <si>
    <t>Program, Event</t>
  </si>
  <si>
    <t>GaroHouses in the hills are simple with minimal furniture</t>
  </si>
  <si>
    <t>GaroHouses</t>
  </si>
  <si>
    <t>are</t>
  </si>
  <si>
    <t>Simple</t>
  </si>
  <si>
    <t>GaroHouseholds have wooden chairs, tables, stools, wardrobes, and steel almirahs</t>
  </si>
  <si>
    <t>GaroHousehold</t>
  </si>
  <si>
    <t>have wooden</t>
  </si>
  <si>
    <t>Chairs, Tables, Stools, Wardrobes, SteelAlmirahs</t>
  </si>
  <si>
    <t>GaroHousehold utensils evolved from earthenware to metal</t>
  </si>
  <si>
    <t>evolved from earthenware to</t>
  </si>
  <si>
    <t>Metal</t>
  </si>
  <si>
    <t>GaroCommunity use different baskets for different purposes</t>
  </si>
  <si>
    <t>GaroCommuninity</t>
  </si>
  <si>
    <t>use different</t>
  </si>
  <si>
    <t>Baskets</t>
  </si>
  <si>
    <t>GaroCommunity now builds home with tin, wood, and modern materials</t>
  </si>
  <si>
    <t>now builds</t>
  </si>
  <si>
    <t>Tin, Wood, ModernMaterials</t>
  </si>
  <si>
    <t>GaroPeople do not have good access to healthcare</t>
  </si>
  <si>
    <t>do not have good access to</t>
  </si>
  <si>
    <t>Helathcare</t>
  </si>
  <si>
    <t>GaroCommunity now use tin for improvements</t>
  </si>
  <si>
    <t>now use tin for</t>
  </si>
  <si>
    <t>Improvements</t>
  </si>
  <si>
    <t>GaroCommunity taditionally celebrate 7 festivals for Jhum</t>
  </si>
  <si>
    <t xml:space="preserve">traditionally celebrate </t>
  </si>
  <si>
    <t>Festivals</t>
  </si>
  <si>
    <t>GaroCommunity no longer dependent on Jhum cultivation</t>
  </si>
  <si>
    <t>no longer dependent</t>
  </si>
  <si>
    <t>JhumCultivation</t>
  </si>
  <si>
    <t>GaroCommunity now celebrates Wangala and Christmas Day</t>
  </si>
  <si>
    <t>now celebrates</t>
  </si>
  <si>
    <t>Wangala, Christmas</t>
  </si>
  <si>
    <t>WangalaFestival is the most significant Garo festival</t>
  </si>
  <si>
    <t>WangalaFestival</t>
  </si>
  <si>
    <t>is the most significant</t>
  </si>
  <si>
    <t>GaroFestival</t>
  </si>
  <si>
    <t>WangalaFestival is a thanksgiving ritual to honor Misi-Saljong</t>
  </si>
  <si>
    <t>is a</t>
  </si>
  <si>
    <t>ThanksgivingRitual</t>
  </si>
  <si>
    <t>RugalaRitual is performed the day before Wangala by the Nokma</t>
  </si>
  <si>
    <t>RugalaRitual</t>
  </si>
  <si>
    <t>is performed before</t>
  </si>
  <si>
    <t>Wangala, Nokma</t>
  </si>
  <si>
    <t>ChatsoCeremony is performed by Nokma on the day of Wangala</t>
  </si>
  <si>
    <t>ChatsoCeremony</t>
  </si>
  <si>
    <t>is performed by</t>
  </si>
  <si>
    <t>Nokma</t>
  </si>
  <si>
    <t>GaroCommunity attends church when it's Christmas day</t>
  </si>
  <si>
    <t>attends</t>
  </si>
  <si>
    <t>Church, ChristmasDay</t>
  </si>
  <si>
    <t>ChristmasDay is a national holiday</t>
  </si>
  <si>
    <t>ChristmasDay</t>
  </si>
  <si>
    <t>Holiday</t>
  </si>
  <si>
    <t>GaroCommunity exchange greetings and offer sweets on christmas day</t>
  </si>
  <si>
    <t>exchange</t>
  </si>
  <si>
    <t>Greetings, Sweets</t>
  </si>
  <si>
    <t>GaroCommunity prefers to celebrate Wangala as it is a traditional festival</t>
  </si>
  <si>
    <t>prefers</t>
  </si>
  <si>
    <t>Wangala</t>
  </si>
  <si>
    <t>Wangala festival is organised by local leadrs</t>
  </si>
  <si>
    <t>is organised by</t>
  </si>
  <si>
    <t>Leaders</t>
  </si>
  <si>
    <t>GaroCommunity has ungergone cultural changes due to conversion to Christianity</t>
  </si>
  <si>
    <t>has undergone changes due to</t>
  </si>
  <si>
    <t>Christianity</t>
  </si>
  <si>
    <t>GaroCommunity now celebrates Christmas day and follows Christian practices</t>
  </si>
  <si>
    <t>Christmas</t>
  </si>
  <si>
    <t>GaroCommunity marital system is disappearing</t>
  </si>
  <si>
    <t>Disappearing</t>
  </si>
  <si>
    <t>Sangsarek is the traditional religion of the Garo people</t>
  </si>
  <si>
    <t>Sangsarek</t>
  </si>
  <si>
    <t>is the</t>
  </si>
  <si>
    <t>TraditionalReligion</t>
  </si>
  <si>
    <t>Sangsarek involes worship of forces of nature as powerful as gods</t>
  </si>
  <si>
    <t>involves worship of</t>
  </si>
  <si>
    <t>Forces, Gods</t>
  </si>
  <si>
    <t>GaroPeople have faith in the power of the sun, stars, moon, thunder, rain</t>
  </si>
  <si>
    <t>have faith in</t>
  </si>
  <si>
    <t>Sun, Stars, Moon, Thunder, Rain</t>
  </si>
  <si>
    <t>GaroPeople believe in a supreme god who created the univers</t>
  </si>
  <si>
    <t>believe in a</t>
  </si>
  <si>
    <t>SupremeGod</t>
  </si>
  <si>
    <t>GaroPeople believe in transmigration of souls after death</t>
  </si>
  <si>
    <t>believe in transmigration of</t>
  </si>
  <si>
    <t>Souls</t>
  </si>
  <si>
    <t>DepartedSouls travel to Mong Sangram and then to Chikmang</t>
  </si>
  <si>
    <t>DepartedSouls</t>
  </si>
  <si>
    <t>travel to</t>
  </si>
  <si>
    <t>MongSangram, Chikmang</t>
  </si>
  <si>
    <t>DepartedSouls rest at Missal Charms awaiting judgement</t>
  </si>
  <si>
    <t>rest at</t>
  </si>
  <si>
    <t>MissalCharms</t>
  </si>
  <si>
    <t>GaroPeoplesSpirit is virtuous it's transmigrated to animal or tree</t>
  </si>
  <si>
    <t>GaroPeoplesSpirit</t>
  </si>
  <si>
    <t xml:space="preserve">is virtuous </t>
  </si>
  <si>
    <t>Animal, Tree</t>
  </si>
  <si>
    <t>GaroPeople die with debt their soul is reborn as a dog</t>
  </si>
  <si>
    <t>die with debt</t>
  </si>
  <si>
    <t>Dog</t>
  </si>
  <si>
    <t>GaroPeople who commit suicide or are killed by a wild animal transform into a ghost, with, or evil sprit</t>
  </si>
  <si>
    <t>commit suicide or are killed by a wild animal</t>
  </si>
  <si>
    <t>Ghost, EvilSpirit</t>
  </si>
  <si>
    <t>GaroCommunity worships Gods including Tartara, Saljong, Susime, and Calcame</t>
  </si>
  <si>
    <t>worships</t>
  </si>
  <si>
    <t>Tartara, Saljong, Susime, Calcame</t>
  </si>
  <si>
    <t>GaroCommunity believe Khamal offers help for treatment of illnesses</t>
  </si>
  <si>
    <t>believe Khamal</t>
  </si>
  <si>
    <t>Help, Treatment</t>
  </si>
  <si>
    <t>GaroPeople previously believed in spirits dwelling in trees, stones and hills</t>
  </si>
  <si>
    <t>believed in spirits dwelling</t>
  </si>
  <si>
    <t>Trees, Stones, Hills</t>
  </si>
  <si>
    <t>GaroCommunity convertd to Christianity converted by missionaries</t>
  </si>
  <si>
    <t>converted to</t>
  </si>
  <si>
    <t>GaroCommunity in Madhupur have mostly embraced Christianity</t>
  </si>
  <si>
    <t>have mostly embraced</t>
  </si>
  <si>
    <t>GaroCommunity after converting to Christianity disregards traditional customs</t>
  </si>
  <si>
    <t>disregards</t>
  </si>
  <si>
    <t>TraditionalCustoms</t>
  </si>
  <si>
    <t>GaroCommunity health status is in good shape</t>
  </si>
  <si>
    <t>is in</t>
  </si>
  <si>
    <t>GoodShape</t>
  </si>
  <si>
    <t>GaroPeople attribute illnesses to displeasing God or curse of inactive spritis</t>
  </si>
  <si>
    <t>attribute illnesses to</t>
  </si>
  <si>
    <t>DispleasingGod, Curse</t>
  </si>
  <si>
    <t>GaroPeople offer sacrifices to appease spirits and seek relief from illness</t>
  </si>
  <si>
    <t xml:space="preserve">offer sacrifices to </t>
  </si>
  <si>
    <t>Sprirts</t>
  </si>
  <si>
    <t>GaroCommunity consumes natural vegetables and drinks wine made from boiled rice</t>
  </si>
  <si>
    <t>consumes</t>
  </si>
  <si>
    <t>Vegetables, Wine</t>
  </si>
  <si>
    <t>GaroPeople lack access to sufficient healthcare facilities</t>
  </si>
  <si>
    <t>lack access to</t>
  </si>
  <si>
    <t>Healthcare</t>
  </si>
  <si>
    <t>GaroPeople travel long distances to access government hospital medical care</t>
  </si>
  <si>
    <t>travel long distance to access</t>
  </si>
  <si>
    <t>Hospital, MedicalCare</t>
  </si>
  <si>
    <t>GaroCommunity local clinics lack adequate medical facilities</t>
  </si>
  <si>
    <t>lack adequate</t>
  </si>
  <si>
    <t>MedicalFacilities</t>
  </si>
  <si>
    <t>GaroCommunity lacked knowledge of health hygience but received training from missionaries and government</t>
  </si>
  <si>
    <t>received training</t>
  </si>
  <si>
    <t>Missionaries, Government</t>
  </si>
  <si>
    <t>GaroCommunity experiences health issues due to ignorance of hygience and sanitation</t>
  </si>
  <si>
    <t>due to</t>
  </si>
  <si>
    <t>Ignorance</t>
  </si>
  <si>
    <t>GaroCommunity has practised Jhum cultivation for over 4000 years</t>
  </si>
  <si>
    <t>practiced for over</t>
  </si>
  <si>
    <t>4000Years</t>
  </si>
  <si>
    <t>GaroCommunity have started engaging in fishing and other professions</t>
  </si>
  <si>
    <t>have started engaging</t>
  </si>
  <si>
    <t>Fishing, OtherProfessions</t>
  </si>
  <si>
    <t>GaroPeople have diversified into teaching, employment, and business</t>
  </si>
  <si>
    <t>have diversified into</t>
  </si>
  <si>
    <t>Teaching, Employment, Business</t>
  </si>
  <si>
    <t>GaroPeople have migrated to cities for better-paying jobs</t>
  </si>
  <si>
    <t>have migrated to</t>
  </si>
  <si>
    <t>Cities, BetterPay</t>
  </si>
  <si>
    <t>GaroPeople primary occupation is farming, supporting over 85% of the community</t>
  </si>
  <si>
    <t>primary occupation is</t>
  </si>
  <si>
    <t>Farming</t>
  </si>
  <si>
    <t>GaroCommunity has increasing rural-urban migration</t>
  </si>
  <si>
    <t>has increasing rural-urban</t>
  </si>
  <si>
    <t>Migration</t>
  </si>
  <si>
    <t>GaroCommunity traditionally follows a matrilineal system granting women authority and land ownership</t>
  </si>
  <si>
    <t>follow a matrilineal system granting</t>
  </si>
  <si>
    <t>WomenAuthority</t>
  </si>
  <si>
    <t>MatrilinealSystem is declining and land ownership is becoming more equally shared</t>
  </si>
  <si>
    <t>MatrilinealSystem</t>
  </si>
  <si>
    <t>is declining and land ownership is becoming</t>
  </si>
  <si>
    <t>EquallyShared</t>
  </si>
  <si>
    <t>Step 4 - Relationship Identification &amp; Cypher Representation</t>
  </si>
  <si>
    <t>Write the connection between two things as: [Thing A]-[Connection]-&gt;[Thing B]. Use Capital letters with underscores for the connection. Example: (GaroWomen)-[ARE_KNOWN_AS]-&gt;(SkilledBeauticians). Confidence: Clear = Very clear from sentence, Vague = probably right, Ambiguous = Not sure</t>
  </si>
  <si>
    <t>Node A (Subject)</t>
  </si>
  <si>
    <t>Node B (Object)</t>
  </si>
  <si>
    <t>Relationship Label</t>
  </si>
  <si>
    <t>Cypher</t>
  </si>
  <si>
    <t>Confidence</t>
  </si>
  <si>
    <t>IS_ONE_OF</t>
  </si>
  <si>
    <t>Clear</t>
  </si>
  <si>
    <t>RESIDES_IN</t>
  </si>
  <si>
    <t>MIGRATED_FROM</t>
  </si>
  <si>
    <t>IS_PRIMARILY</t>
  </si>
  <si>
    <t>SPEAKS</t>
  </si>
  <si>
    <t>FOLAmbiguousS</t>
  </si>
  <si>
    <t>RECEIVE</t>
  </si>
  <si>
    <t>INCLUDES</t>
  </si>
  <si>
    <t>PRACTICES</t>
  </si>
  <si>
    <t>MAIN_LIVELIHOOD_IS</t>
  </si>
  <si>
    <t xml:space="preserve">Clear </t>
  </si>
  <si>
    <t>IS</t>
  </si>
  <si>
    <t>MIGRATED_TO</t>
  </si>
  <si>
    <t>WAS_ISOLATED_BEFORE</t>
  </si>
  <si>
    <t xml:space="preserve">Vague </t>
  </si>
  <si>
    <t>FIRST_RECEIVED_NAME</t>
  </si>
  <si>
    <t xml:space="preserve"> Ambiguous</t>
  </si>
  <si>
    <t>SHARE</t>
  </si>
  <si>
    <t>Vague</t>
  </si>
  <si>
    <t>INFLUENCE_ON</t>
  </si>
  <si>
    <t>UNCERTAIN_KNOWLEDGE_OF</t>
  </si>
  <si>
    <t>RESULTS_IN</t>
  </si>
  <si>
    <t>IS_MOSTLY</t>
  </si>
  <si>
    <t>HAVE_Clear_RATES_OF</t>
  </si>
  <si>
    <t>Ambiguous_ABILITY_TO_SUSTAIN_THEIR</t>
  </si>
  <si>
    <t>LACK_OF</t>
  </si>
  <si>
    <t>WEARS</t>
  </si>
  <si>
    <t>WRAP_A</t>
  </si>
  <si>
    <t>TRADITIONALLY_WORE</t>
  </si>
  <si>
    <t>CONSISTS_OF</t>
  </si>
  <si>
    <t>HAS</t>
  </si>
  <si>
    <t>PRIMARY_FOOD_IS</t>
  </si>
  <si>
    <t>A_LOT_OF</t>
  </si>
  <si>
    <t>HAVE_ADOPTED_FOOD_HABITS</t>
  </si>
  <si>
    <t>Ambiguous</t>
  </si>
  <si>
    <t>HAS_FONDNESS_FOR</t>
  </si>
  <si>
    <t>PREFERS</t>
  </si>
  <si>
    <t>USED_TO</t>
  </si>
  <si>
    <t>HAS_EVOLVED</t>
  </si>
  <si>
    <t>NO_LONGER_DRINKS_ALCOHOL</t>
  </si>
  <si>
    <t>FAVOURITE_DISHES_INCLUDE</t>
  </si>
  <si>
    <t>IS_AN_IMPORTANT_PART_OF</t>
  </si>
  <si>
    <t>ARE</t>
  </si>
  <si>
    <t>HAVE_WOODEN</t>
  </si>
  <si>
    <t>EVOLVED_FROM_EARTHENWARE_TO</t>
  </si>
  <si>
    <t>USE_DIFFERENT</t>
  </si>
  <si>
    <t>NOW_BUILDS</t>
  </si>
  <si>
    <t>DO_NOT_HAVE_GOOD_ACCESS_TO</t>
  </si>
  <si>
    <t>NOW_USE_TIN_FOR</t>
  </si>
  <si>
    <t>TRADITIONALLY_CELEBRATE</t>
  </si>
  <si>
    <t>NO_LONGER_DEPENDENT</t>
  </si>
  <si>
    <t>NOW_CELEBRATES</t>
  </si>
  <si>
    <t>IS_THE_MOST_SIGNIFICANT</t>
  </si>
  <si>
    <t>IS_A</t>
  </si>
  <si>
    <t>IS_PERFORMED_BEFORE</t>
  </si>
  <si>
    <t>IS_PERFORMED_BY</t>
  </si>
  <si>
    <t>ATTENDS</t>
  </si>
  <si>
    <t>EXCHANGES</t>
  </si>
  <si>
    <t>IS_ORGANISED_BY</t>
  </si>
  <si>
    <t>HAS_UNDERGONE_CHANGES_DUE_TO</t>
  </si>
  <si>
    <t>IS_THE</t>
  </si>
  <si>
    <t>INVOLVES_WORSHIP_OF</t>
  </si>
  <si>
    <t>HAVE_FAITH_IN</t>
  </si>
  <si>
    <t>BELIEVE_IN_A</t>
  </si>
  <si>
    <t>BELIEVE_IN_TRANSMIGRATION_OF</t>
  </si>
  <si>
    <t>TRAVEL_TO</t>
  </si>
  <si>
    <t>REST_AT</t>
  </si>
  <si>
    <t>IS_VIRTUOUS</t>
  </si>
  <si>
    <t>DIE_WITH_DEBT</t>
  </si>
  <si>
    <t>COMMIT_SUICIDE_OR_ARE_KILLED_BY_A_WILD_ANIMAL</t>
  </si>
  <si>
    <t>WORSHIPSS</t>
  </si>
  <si>
    <t>BELIEVE_KHAMAL</t>
  </si>
  <si>
    <t>BELIEVED_IN_SPIRITS_DWELLING</t>
  </si>
  <si>
    <t>CONVERTED_TO</t>
  </si>
  <si>
    <t>HAVE_MOSTLY_EMBRACED</t>
  </si>
  <si>
    <t>DISREGARDS</t>
  </si>
  <si>
    <t>IS_IN</t>
  </si>
  <si>
    <t>ATTRIBUTE_ILLNESSES_TO</t>
  </si>
  <si>
    <t>OFFER_SACRIFICES_TO</t>
  </si>
  <si>
    <t>CONSUMES</t>
  </si>
  <si>
    <t>LACK_ACCESS_TO</t>
  </si>
  <si>
    <t>TRAVEL_LONG_DISTANCE_TO_ACCESS</t>
  </si>
  <si>
    <t>LACK_ADEQUATE</t>
  </si>
  <si>
    <t>RECEIVED_TRAINING</t>
  </si>
  <si>
    <t>DUE_TO</t>
  </si>
  <si>
    <t>PRACTICED_FOR_OVER</t>
  </si>
  <si>
    <t>HAVE_STARTED_ENGAGING</t>
  </si>
  <si>
    <t>HAVE_DIVERSIFIED_INTO</t>
  </si>
  <si>
    <t>HAVE_MIGRATED_TO</t>
  </si>
  <si>
    <t>PRIMARY_OCCUPATION_IS</t>
  </si>
  <si>
    <t>HAS_INCREASING_RURAL_URBAN</t>
  </si>
  <si>
    <t>FOLAmbiguous_A_MATRILINEAL_SYSTEM_GRANTING</t>
  </si>
  <si>
    <t>IS_DECLINING_AND_LAND_OWNERSHIP_IS_BECOMING</t>
  </si>
  <si>
    <t>Cross-Match Comparison - Complete After both members finish independently</t>
  </si>
  <si>
    <t>Now compare with your partner. Write what you each found for every relationship. If you agree - write the final version and mark. If you disagree - talk about it, write the reason, and agree on one answer. If you still cannot agree - mark and add the question at the bottom to ask Tanjila</t>
  </si>
  <si>
    <t>Ref #</t>
  </si>
  <si>
    <t>Member A Triple</t>
  </si>
  <si>
    <t>Member B Triple</t>
  </si>
  <si>
    <t>Agree Final Triple</t>
  </si>
  <si>
    <t>Discrepancy / Notes</t>
  </si>
  <si>
    <t>R1</t>
  </si>
  <si>
    <t xml:space="preserve">(GaroCommunity)-[IS_A]-&gt;(MinorityTribe) </t>
  </si>
  <si>
    <t>How specific do we need to be?</t>
  </si>
  <si>
    <t>Agree</t>
  </si>
  <si>
    <t>R2</t>
  </si>
  <si>
    <t>(GaroCommunity)-[LIVES_IN]-&gt;(MadhupurTangailBangladesh)</t>
  </si>
  <si>
    <t>R3</t>
  </si>
  <si>
    <t>(GaroPeople)-[MIGRATED_FROM]-&gt;(Tibet) / (GaroPeople)-[MIGRATED_FROM]-&gt;(Burma)</t>
  </si>
  <si>
    <t>R4</t>
  </si>
  <si>
    <t>(GaroCommunity)-[DEPENDS_ON]-&gt;(Agriculture)</t>
  </si>
  <si>
    <t>Worthwhile keeping both?</t>
  </si>
  <si>
    <t>R5</t>
  </si>
  <si>
    <t>(GaroPeople)-[ARE]-&gt;(Bilingual)</t>
  </si>
  <si>
    <t>R6</t>
  </si>
  <si>
    <t>(GaroCommunity)-[FOLLOWS]-&gt;(MatriarchalSystem)</t>
  </si>
  <si>
    <t>R7</t>
  </si>
  <si>
    <t>(GaroWomen)-[INHERIT]-&gt;(Property)</t>
  </si>
  <si>
    <t>R8</t>
  </si>
  <si>
    <t>(GaroPeople)-[HAVE]-&gt;(SupernaturalBeliefs)</t>
  </si>
  <si>
    <t>R9</t>
  </si>
  <si>
    <t>(GaroCommunity)-[PRACTICES]-&gt;(Rituals)</t>
  </si>
  <si>
    <t>R10</t>
  </si>
  <si>
    <t>(GaroCommunity)-[RELIES_ON]-&gt;(Agriculture)</t>
  </si>
  <si>
    <t>R11</t>
  </si>
  <si>
    <t>(GaroEthnicGroup)-[IS]-&gt;(MinorityGroup)</t>
  </si>
  <si>
    <t>Ethnicity / Community? Should we separate</t>
  </si>
  <si>
    <t>R12</t>
  </si>
  <si>
    <t>(GaroCommunity)-[LIVES_IN]-&gt;(Mymensingh)</t>
  </si>
  <si>
    <t>Paper was a bit confusing, long sentence referenced multiple locations</t>
  </si>
  <si>
    <t>R13</t>
  </si>
  <si>
    <t>(GaroCommunity)-[ISOLATED_FROM]-&gt;(OutsideWorld)</t>
  </si>
  <si>
    <t>Should British Colonial rule be separate. Keep both?</t>
  </si>
  <si>
    <t>R14</t>
  </si>
  <si>
    <t>R15</t>
  </si>
  <si>
    <t>What does this tell us?</t>
  </si>
  <si>
    <t>R16</t>
  </si>
  <si>
    <t>R17</t>
  </si>
  <si>
    <t>R18</t>
  </si>
  <si>
    <t>Not clear</t>
  </si>
  <si>
    <t>R19</t>
  </si>
  <si>
    <t>R20</t>
  </si>
  <si>
    <t>(GaroPeople)-[WORK_IN]-&gt;(Agriculture)</t>
  </si>
  <si>
    <t>Keeping same node of GaroPeople</t>
  </si>
  <si>
    <t>R21</t>
  </si>
  <si>
    <t>(GaroPeople)-[ARE]-&gt;(Illiterate)</t>
  </si>
  <si>
    <t>R22</t>
  </si>
  <si>
    <t>(GaroPeople)-[BELONG_TO]-&gt;(VulnerablePopulation)</t>
  </si>
  <si>
    <t>Keep both separate</t>
  </si>
  <si>
    <t>R23</t>
  </si>
  <si>
    <t>(GaroEducation)-[RESULTS_IN_LACK_OF]-&gt;(FamilyPlanning)</t>
  </si>
  <si>
    <t>R24</t>
  </si>
  <si>
    <t>Do we separate into different triples</t>
  </si>
  <si>
    <t>R25</t>
  </si>
  <si>
    <t>Duplication</t>
  </si>
  <si>
    <t>R26</t>
  </si>
  <si>
    <t>R27</t>
  </si>
  <si>
    <t>Need to specific about how this occurred after british colonisation</t>
  </si>
  <si>
    <t>R28</t>
  </si>
  <si>
    <t>R29</t>
  </si>
  <si>
    <t>Split into different triples. Be specific about traditional attire and changed?</t>
  </si>
  <si>
    <t>R30</t>
  </si>
  <si>
    <t>R31</t>
  </si>
  <si>
    <t>(AttireStyles)-[ICLUDES]-&gt;(Gando, Katib, Salchak, Marang, Unpon, Riking)</t>
  </si>
  <si>
    <t>Changed to make more sense</t>
  </si>
  <si>
    <t>R32</t>
  </si>
  <si>
    <t>(GaroPeople)-[CONSUME]-&gt;(Rice)</t>
  </si>
  <si>
    <t>R33</t>
  </si>
  <si>
    <t>(GaroFood)-[INCLUDES]-&gt;(GreenChilli, Curry)</t>
  </si>
  <si>
    <t>R34</t>
  </si>
  <si>
    <t>(GaroPeople)-[ADOPTED]-&gt;(BengaliFoodHabits)</t>
  </si>
  <si>
    <t>R35</t>
  </si>
  <si>
    <t>Combine R33</t>
  </si>
  <si>
    <t>R36</t>
  </si>
  <si>
    <t>Is it necessary, contradicts other triples unless specific?</t>
  </si>
  <si>
    <t>R37</t>
  </si>
  <si>
    <t>N/A</t>
  </si>
  <si>
    <t>R38</t>
  </si>
  <si>
    <t>(GaroFoodHabits)-[UNDERGO]-&gt;(Change)</t>
  </si>
  <si>
    <t>R39</t>
  </si>
  <si>
    <t>R40</t>
  </si>
  <si>
    <t>Is this necessary for us to keep in? Does it hold value?</t>
  </si>
  <si>
    <t>R41</t>
  </si>
  <si>
    <t>(GaroCommunity)-[PRODUCES]-&gt;(Chu)</t>
  </si>
  <si>
    <t>BOTH</t>
  </si>
  <si>
    <t>Separate, including origin and purpose will hold value</t>
  </si>
  <si>
    <t>R42</t>
  </si>
  <si>
    <t>R43</t>
  </si>
  <si>
    <t>R44</t>
  </si>
  <si>
    <t>R45</t>
  </si>
  <si>
    <t>R46</t>
  </si>
  <si>
    <t>(GaroCommunity)-[ENGAGES_IN]-&gt;(Handicrafts)</t>
  </si>
  <si>
    <t>Keep separate, both relate to different concepts</t>
  </si>
  <si>
    <t>R47</t>
  </si>
  <si>
    <t>(GaroPeople)-[FACES]-&gt;(HealthProblems)</t>
  </si>
  <si>
    <t>R48</t>
  </si>
  <si>
    <t>Not specific enough</t>
  </si>
  <si>
    <t>R49</t>
  </si>
  <si>
    <t>R50</t>
  </si>
  <si>
    <t>R51</t>
  </si>
  <si>
    <t>(GaroCommunity)-[CELEBRATES]-&gt;(Wangala) / (GaroCommunity)-[CELEBRATES]-&gt;(Christmas)</t>
  </si>
  <si>
    <t>Do we keep separate or can we merge?</t>
  </si>
  <si>
    <t>R52</t>
  </si>
  <si>
    <t>R53</t>
  </si>
  <si>
    <t>R54</t>
  </si>
  <si>
    <t>R55</t>
  </si>
  <si>
    <t>R56</t>
  </si>
  <si>
    <t>Not specific as not whole community is Christian?</t>
  </si>
  <si>
    <t>R57</t>
  </si>
  <si>
    <t>R58</t>
  </si>
  <si>
    <t>(ChristmasDay)-[INCLUDES_EXCHANGING]-&gt;(Greetings, Sweets)</t>
  </si>
  <si>
    <t>R59</t>
  </si>
  <si>
    <t>R60</t>
  </si>
  <si>
    <t>R61</t>
  </si>
  <si>
    <t>R62</t>
  </si>
  <si>
    <t>(GaroCommunity)-[EXPERIENCES]-&gt;(CulturalChange)</t>
  </si>
  <si>
    <t>More specific. Should Member B triple lead into Member A triple?</t>
  </si>
  <si>
    <t>R63</t>
  </si>
  <si>
    <t>R64</t>
  </si>
  <si>
    <t>(GaroTraditionalLife)-[IS_UNDER]-&gt;(Threat)</t>
  </si>
  <si>
    <t>R65</t>
  </si>
  <si>
    <t>(GaroReligion)-[IS]-&gt;(Sangsarek) / (GaroPeople)-[FOLLOW]-&gt;(Sangsarek)</t>
  </si>
  <si>
    <t>R66</t>
  </si>
  <si>
    <t>R67</t>
  </si>
  <si>
    <t>R68</t>
  </si>
  <si>
    <t>R69</t>
  </si>
  <si>
    <t>(GaroPeople)-[BELIEVE_IN]-&gt;(Transmigration)</t>
  </si>
  <si>
    <t xml:space="preserve">More specific. </t>
  </si>
  <si>
    <t>R70</t>
  </si>
  <si>
    <t>R71</t>
  </si>
  <si>
    <t>R72</t>
  </si>
  <si>
    <t>R73</t>
  </si>
  <si>
    <t>R74</t>
  </si>
  <si>
    <t>R75</t>
  </si>
  <si>
    <t>R76</t>
  </si>
  <si>
    <t>R77</t>
  </si>
  <si>
    <t>R78</t>
  </si>
  <si>
    <t>(GaroPeople)-[FOLLOW]-&gt;(Christianity)</t>
  </si>
  <si>
    <t>R79</t>
  </si>
  <si>
    <t>R80</t>
  </si>
  <si>
    <t>R81</t>
  </si>
  <si>
    <t>R82</t>
  </si>
  <si>
    <t>Contradictory</t>
  </si>
  <si>
    <t>R83</t>
  </si>
  <si>
    <t>R84</t>
  </si>
  <si>
    <t>R85</t>
  </si>
  <si>
    <t>R86</t>
  </si>
  <si>
    <t>R87</t>
  </si>
  <si>
    <t>(GaroPeople)-[LACK_ACCESS_TO]-&gt;(Healthcare)</t>
  </si>
  <si>
    <t>R88</t>
  </si>
  <si>
    <t>R89</t>
  </si>
  <si>
    <t>R90</t>
  </si>
  <si>
    <t>R91</t>
  </si>
  <si>
    <t>(GaroCommunity)-[RECEIVED_MEDICAL_TRAINING_FROM]-&gt;(Missionaries, Government)</t>
  </si>
  <si>
    <t>Check</t>
  </si>
  <si>
    <t>R92</t>
  </si>
  <si>
    <t>R93</t>
  </si>
  <si>
    <t>R94</t>
  </si>
  <si>
    <t>R95</t>
  </si>
  <si>
    <t>R96</t>
  </si>
  <si>
    <t>R97</t>
  </si>
  <si>
    <t>R98</t>
  </si>
  <si>
    <t>(GaroPeople)-[WORK_IN]-&gt;(Farming)</t>
  </si>
  <si>
    <t>Duplication?</t>
  </si>
  <si>
    <t>R99</t>
  </si>
  <si>
    <t>R100</t>
  </si>
  <si>
    <t>R101</t>
  </si>
  <si>
    <t>(MatrilinealSystem)-[IS_DECLINING_AND_BECOMING]-&gt;(EquallyShared)</t>
  </si>
  <si>
    <t>Is EquallyShared a good node?</t>
  </si>
  <si>
    <t>R102</t>
  </si>
  <si>
    <t>R103</t>
  </si>
  <si>
    <t>Missed Extractions</t>
  </si>
  <si>
    <t>ID</t>
  </si>
  <si>
    <t>Missed Triple</t>
  </si>
  <si>
    <t>Final Triple</t>
  </si>
  <si>
    <t>Notes</t>
  </si>
  <si>
    <t>M1</t>
  </si>
  <si>
    <t>M2</t>
  </si>
  <si>
    <t>(GaroCommunity)-[ADOPTS]-&gt;(NewWayOfLife)</t>
  </si>
  <si>
    <t>M3</t>
  </si>
  <si>
    <t>M4</t>
  </si>
  <si>
    <t>(GaroPeople)-[FACES]-&gt;(SanitationProblems)</t>
  </si>
  <si>
    <t>M5</t>
  </si>
  <si>
    <t>(GaroPeople)-[FACES]-&gt;(CommunicationProblems)</t>
  </si>
  <si>
    <t>M6</t>
  </si>
  <si>
    <t>(GaroPeople)-[FACES]-&gt;(ElectricityProblems)</t>
  </si>
  <si>
    <t>M7</t>
  </si>
  <si>
    <t>(GaroPeople)-[FACES]-&gt;(SecurityProblems)</t>
  </si>
  <si>
    <t>M8</t>
  </si>
  <si>
    <t>(GaroPeople)-[CALL_THEMSELVES]-&gt;(Mandi)</t>
  </si>
  <si>
    <t>M9</t>
  </si>
  <si>
    <t>(GaroPeople)-[CALL_THEMSELVES]-&gt;(Achchik)</t>
  </si>
  <si>
    <t>M10</t>
  </si>
  <si>
    <t>(GaroMen)-[DO_NOT_HAVE]-&gt;(Inheritance)</t>
  </si>
  <si>
    <t>M11</t>
  </si>
  <si>
    <t>(GaroCommunity)-[HAS]-&gt;(SeparateEthnicity)</t>
  </si>
  <si>
    <t>M12</t>
  </si>
  <si>
    <t>(GaroPeople)-[HAVE]-&gt;(Culture)</t>
  </si>
  <si>
    <t>Not specific</t>
  </si>
  <si>
    <t>M13</t>
  </si>
  <si>
    <t>M14</t>
  </si>
  <si>
    <t>(NGOs)-[CONTRIBUTE_TO]-&gt;(RuralDevelopment)</t>
  </si>
  <si>
    <t>M15</t>
  </si>
  <si>
    <t>(NGOs)-[PROMOTE]-&gt;(Education)</t>
  </si>
  <si>
    <t>M16</t>
  </si>
  <si>
    <t>(NGOs)-[PROMOTE]-&gt;(GenderEquality)</t>
  </si>
  <si>
    <t>M17</t>
  </si>
  <si>
    <t>M18</t>
  </si>
  <si>
    <t>M19</t>
  </si>
  <si>
    <t>M20</t>
  </si>
  <si>
    <t>M21</t>
  </si>
  <si>
    <t>Final Triples</t>
  </si>
  <si>
    <t>All agreed upon triples from the Cross-Match sheet. Created proper structure for the Triples ensuring there were no comma separated NodeB's</t>
  </si>
  <si>
    <t>Triple</t>
  </si>
  <si>
    <t>(GaroCommunity)-[IS_ONE_OF]-&gt;(LargestMinorityTribes)</t>
  </si>
  <si>
    <t>(GaroCommunity)-[MIGRATED_FROM]-&gt;(Tibet)</t>
  </si>
  <si>
    <t>(GaroCommunity)-[MIGRATED_FROM]-&gt;(Burma)</t>
  </si>
  <si>
    <t>(GaroCommunity)-[IS_PRIMARILY]-&gt;(Agricultural)</t>
  </si>
  <si>
    <t>(GaroPeople)-[SPEAKS]-&gt;(Bengali)</t>
  </si>
  <si>
    <t>(GaroCommunity)-[FOLAmbiguousS]-&gt;(MatriarchalSystem)</t>
  </si>
  <si>
    <t>(GaroCommunity)-[WAS_ISOLATED_BEFORE]-&gt;(BritishColonialRule)</t>
  </si>
  <si>
    <t>(GaroSubtribe)-[FIRST_RECEIVED_NAME]-&gt;(Garo)</t>
  </si>
  <si>
    <t>(BangaliLanguage)-[INFLUENCE_ON]-&gt;(MandiLanguage)</t>
  </si>
  <si>
    <t>Keeping same node of GaroPeople, Duplication?</t>
  </si>
  <si>
    <t>(GaroPeople)-[HAVE_Clear_RATES_OF]-&gt;(Illiteracy)</t>
  </si>
  <si>
    <t>(GaroMen)-[WEARS]-&gt;(Lungis)</t>
  </si>
  <si>
    <t>(GaroMen)-[WEARS]-&gt;(Genjis)</t>
  </si>
  <si>
    <t>(GaroMen)-[WEARS]-&gt;(Trousers)</t>
  </si>
  <si>
    <t>(GaroMen)-[WEARS]-&gt;(Shirts)</t>
  </si>
  <si>
    <t>(GaroWomen)-[WEARS]-&gt;(orna)</t>
  </si>
  <si>
    <t>(GaroWomen)-[WEARS]-&gt;(sarees)</t>
  </si>
  <si>
    <t>(GaroWomen)-[WEARS]-&gt;(blouses)</t>
  </si>
  <si>
    <t>(GaroWomen)-[WEARS]-&gt;(kamij)</t>
  </si>
  <si>
    <t>(GaroWomen)-[WEARS]-&gt;(petticoats)</t>
  </si>
  <si>
    <t>(GaroWomen)-[WEARS]-&gt;(salwars)</t>
  </si>
  <si>
    <t>(GaroWomen)-[WEARS]-&gt;(TraditionalCostumes)</t>
  </si>
  <si>
    <t>(GaroWomen)-[TRADITIONALLY_WORE]-&gt;(SilverJewelry)</t>
  </si>
  <si>
    <t>(AttireStyles)-[NICLUDES]-&gt;(Gando)</t>
  </si>
  <si>
    <t>(AttireStyles)-[INCLUDES]-&gt;(Katib)</t>
  </si>
  <si>
    <t>(AttireStyles)-[INCLUDES]-&gt;(Salchak)</t>
  </si>
  <si>
    <t>(AttireStyles)-[NICLUDES]-&gt;(Marang)</t>
  </si>
  <si>
    <t>(AttireStyles)-[INCLUDES]-&gt;(Unpon)</t>
  </si>
  <si>
    <t>(AttireStyles)-[INCLUDES]-&gt;(Riking)</t>
  </si>
  <si>
    <t>(GaroPeople)-[PRIMARY_FOOD_IS]-&gt;(Rice)</t>
  </si>
  <si>
    <t>(GaroFood)-[INCLUDES]-&gt;(GreenChilli)</t>
  </si>
  <si>
    <t>(GaroFood)-[INCLUDES]-&gt;(Curry)</t>
  </si>
  <si>
    <t>(GaroPeople)-[HAS_FONDNESS_FOR]-&gt;(Liquor)</t>
  </si>
  <si>
    <t>Should we Combine R33</t>
  </si>
  <si>
    <t>(GaroPeople)-[HAS_FONDNESS_FOR]-&gt;(BambooShoots)</t>
  </si>
  <si>
    <t>Should we Combine R34</t>
  </si>
  <si>
    <t>(GaroPeople)-[HAS_FONDNESS_FOR]-&gt;(Port)</t>
  </si>
  <si>
    <t>Should we Combine R35</t>
  </si>
  <si>
    <t>(GaroPeople)-[HAS_FONDNESS_FOR]-&gt;(Mushrooms)</t>
  </si>
  <si>
    <t>Should we Combine R36</t>
  </si>
  <si>
    <t>(GaroPeople)-[HAS_FONDNESS_FOR]-&gt;(Turtle)</t>
  </si>
  <si>
    <t>Should we Combine R37</t>
  </si>
  <si>
    <t>(GaroCommunity)-[NO_LONGER_DRINKS_ALCOHOL]-&gt;(ChristianValues)</t>
  </si>
  <si>
    <t>(GaroCommunity)-[FAVOURITE_DISHES_INCLUDE]-&gt;(DriedFish)</t>
  </si>
  <si>
    <t>(GaroCommunity)-[FAVOURITE_DISHES_INCLUDE]-&gt;(Pork)</t>
  </si>
  <si>
    <t>(GaroCommunity)-[FAVOURITE_DISHES_INCLUDE]-&gt;(Rabbit)</t>
  </si>
  <si>
    <t>(GaroCommunity)-[FAVOURITE_DISHES_INCLUDE]-&gt;(Chicken)</t>
  </si>
  <si>
    <t>(Chu)-[IS_AN_IMPORTANT_PART_OF]-&gt;(Program)</t>
  </si>
  <si>
    <t>(Chu)-[IS_AN_IMPORTANT_PART_OF]-&gt;(Event)</t>
  </si>
  <si>
    <t>(GaroHousehold)-[HAVE_WOODEN]-&gt;(Chairs)</t>
  </si>
  <si>
    <t>(GaroHousehold)-[HAVE_WOODEN]-&gt;(Tables)</t>
  </si>
  <si>
    <t>(GaroHousehold)-[HAVE_WOODEN]-&gt;(Stools)</t>
  </si>
  <si>
    <t>(GaroHousehold)-[HAVE_WOODEN]-&gt;(Wardrobes)</t>
  </si>
  <si>
    <t>(GaroHousehold)-[HAVE_WOODEN]-&gt;(SteelAlmirahs)</t>
  </si>
  <si>
    <t>(GaroHousehold)-[EVOLVED_FROM_EARTHENWARE_TO]-&gt;(Metal)</t>
  </si>
  <si>
    <t>(GaroCommunity)-[NOW_BUILDS]-&gt;(Tin)</t>
  </si>
  <si>
    <t>(GaroCommunity)-[NOW_BUILDS]-&gt;(Wood)</t>
  </si>
  <si>
    <t>(GaroCommunity)-[NOW_BUILDS]-&gt;(ModernMaterials)</t>
  </si>
  <si>
    <t>(GaroPeople)-[DO_NOT_HAVE_GOOD_ACCESS_TO]-&gt;(Helathcare)</t>
  </si>
  <si>
    <t>(GaroCommunity)-[TRADITIONALLY_CELEBRATE]-&gt;(Festivals)</t>
  </si>
  <si>
    <t>(GaroCommunity)-[NO_LONGER_DEPENDENT]-&gt;(JhumCultivation)</t>
  </si>
  <si>
    <t>JhumCultivation is not referenced anywhere else</t>
  </si>
  <si>
    <t>(GaroCommunity)-[NOW_CELEBRATES]-&gt;(Wangala)</t>
  </si>
  <si>
    <t>(GaroCommunity)-[NOW_CELEBRATES]-&gt;(Christmas)</t>
  </si>
  <si>
    <t>(WangalaFestival)-[IS_THE_MOST_SIGNIFICANT]-&gt;(GaroFestival)</t>
  </si>
  <si>
    <t>(WangalaFestival)-[IS_A]-&gt;(ThanksgivingRitual)</t>
  </si>
  <si>
    <t>(RugalaRitual)-[IS_PERFORMED_BEFORE]-&gt;(Wangala)</t>
  </si>
  <si>
    <t>(RugalaRitual)-[IS_PERFORMED_BEFORE]-&gt;(Nokma)</t>
  </si>
  <si>
    <t>(ChatsoCeremony)-[IS_PERFORMED_BY]-&gt;(Nokma)</t>
  </si>
  <si>
    <t>(ChristmasDay)-[IS_A]-&gt;(Holiday)</t>
  </si>
  <si>
    <t>(ChristmasDay)-[INCLUDES_EXCHANGING]-&gt;(Greetings)</t>
  </si>
  <si>
    <t>(ChristmasDay)-[INCLUDES_EXCHANGING]-&gt;(Sweets)</t>
  </si>
  <si>
    <t>(GaroCommunity)-[PREFERS]-&gt;(Wangala)</t>
  </si>
  <si>
    <t>(Wangala)-[IS_ORGANISED_BY]-&gt;(Leaders)</t>
  </si>
  <si>
    <t>(GaroCommunity)-[HAS_UNDERGONE_CHANGES_DUE_TO]-&gt;(Christianity)</t>
  </si>
  <si>
    <t>(Sangsarek)-[IS_THE]-&gt;(TraditionalReligion)</t>
  </si>
  <si>
    <t>(Sangsarek)-[INVOLVES_WORSHIP_OF]-&gt;(Forces)</t>
  </si>
  <si>
    <t>(Sangsarek)-[INVOLVES_WORSHIP_OF]-&gt;(Gods)</t>
  </si>
  <si>
    <t>(GaroPeople)-[HAVE_FAITH_IN]-&gt;(Sun)</t>
  </si>
  <si>
    <t>(GaroPeople)-[HAVE_FAITH_IN]-&gt;(Stars)</t>
  </si>
  <si>
    <t>(GaroPeople)-[HAVE_FAITH_IN]-&gt;(Moon)</t>
  </si>
  <si>
    <t>(GaroPeople)-[HAVE_FAITH_IN]-&gt;(Thunder)</t>
  </si>
  <si>
    <t>(GaroPeople)-[HAVE_FAITH_IN]-&gt;(Rain)</t>
  </si>
  <si>
    <t>(GaroPeople)-[BELIEVE_IN_A]-&gt;(SupremeGod)</t>
  </si>
  <si>
    <t>(GaroPeople)-[BELIEVE_IN_TRANSMIGRATION_OF]-&gt;(Souls)</t>
  </si>
  <si>
    <t>(DepartedSouls)-[TRAVEL_TO]-&gt;(MongSangram)</t>
  </si>
  <si>
    <t>(DepartedSouls)-[TRAVEL_TO]-&gt;(Chikmang)</t>
  </si>
  <si>
    <t>(DepartedSouls)-[REST_AT]-&gt;(MissalCharms)</t>
  </si>
  <si>
    <t>(GaroPeoplesSpirit)-[IS_VIRTUOUS]-&gt;(Animal)</t>
  </si>
  <si>
    <t>(GaroPeoplesSpirit)-[IS_VIRTUOUS]-&gt;(Tree)</t>
  </si>
  <si>
    <t>(GaroPeople)-[DIE_WITH_DEBT]-&gt;(Dog)</t>
  </si>
  <si>
    <t>(GaroPeople)-[COMMIT_SUICIDE_OR_ARE_KILLED_BY_A_WILD_ANIMAL]-&gt;(Ghost)</t>
  </si>
  <si>
    <t>(GaroPeople)-[COMMIT_SUICIDE_OR_ARE_KILLED_BY_A_WILD_ANIMAL]-&gt;(EvilSpirit)</t>
  </si>
  <si>
    <t>(GaroCommunity)-[WORSHIPSS]-&gt;(Tartara)</t>
  </si>
  <si>
    <t>(GaroCommunity)-[WORSHIPSS]-&gt;(Saljong)</t>
  </si>
  <si>
    <t>(GaroCommunity)-[WORSHIPSS]-&gt;(Susime)</t>
  </si>
  <si>
    <t>(GaroCommunity)-[WORSHIPSS]-&gt;(Calcame)</t>
  </si>
  <si>
    <t>(GaroCommunity)-[BELIEVE_KHAMAL]-&gt;(Help)</t>
  </si>
  <si>
    <t>(GaroCommunity)-[BELIEVE_KHAMAL]-&gt;(Treatment)</t>
  </si>
  <si>
    <t>(GaroPeople)-[BELIEVED_IN_SPIRITS_DWELLING]-&gt;(Trees)</t>
  </si>
  <si>
    <t>(GaroPeople)-[BELIEVED_IN_SPIRITS_DWELLING]-&gt;(Stones)</t>
  </si>
  <si>
    <t>(GaroPeople)-[BELIEVED_IN_SPIRITS_DWELLING]-&gt;(Hills)</t>
  </si>
  <si>
    <t>(GaroCommunity)-[CONVERTED_TO]-&gt;(Christianity)</t>
  </si>
  <si>
    <t>(GaroPeople)-[FOLAmbiguous]-&gt;(Christianity)</t>
  </si>
  <si>
    <t>(GaroCommunity)-[HAVE_MOSTLY_EMBRACED]-&gt;(Christianity)</t>
  </si>
  <si>
    <t>(GaroPeople)-[ATTRIBUTE_ILLNESSES_TO]-&gt;(DispleasingGod)</t>
  </si>
  <si>
    <t>(GaroPeople)-[ATTRIBUTE_ILLNESSES_TO]-&gt;(Curse)</t>
  </si>
  <si>
    <t>(GaroPeople)-[OFFER_SACRIFICES_TO]-&gt;(Sprirts)</t>
  </si>
  <si>
    <t>(GaroCommunity)-[CONSUMES]-&gt;(Vegetables)</t>
  </si>
  <si>
    <t>(GaroCommunity)-[CONSUMES]-&gt;(Wine)</t>
  </si>
  <si>
    <t>(GaroPeople)-[TRAVEL_LONG_DISTANCE_TO_ACCESS]-&gt;(Hospital)</t>
  </si>
  <si>
    <t>(GaroPeople)-[TRAVEL_LONG_DISTANCE_TO_ACCESS]-&gt;(MedicalCare)</t>
  </si>
  <si>
    <t>(GaroCommunity)-[LACK_ADEQUATE]-&gt;(MedicalFacilities)</t>
  </si>
  <si>
    <t>(GaroCommunity)-[RECEIVED_MEDICAL_TRAINING_FROM]-&gt;(Missionaries)</t>
  </si>
  <si>
    <t>(GaroCommunity)-[RECEIVED_MEDICAL_TRAINING_FROM]-&gt;(Government)</t>
  </si>
  <si>
    <t>(JhumCultivation)-[PRACTICED_FOR_OVER]-&gt;(4000Years)</t>
  </si>
  <si>
    <t>(GaroCommunity)-[HAVE_STARTED_ENGAGING]-&gt;(Fishing)</t>
  </si>
  <si>
    <t>(GaroCommunity)-[HAVE_STARTED_ENGAGING]-&gt;(OtherProfessions)</t>
  </si>
  <si>
    <t>(GaroPeople)-[HAVE_DIVERSIFIED_INTO]-&gt;(Teaching)</t>
  </si>
  <si>
    <t>(GaroPeople)-[HAVE_DIVERSIFIED_INTO]-&gt;(Employment)</t>
  </si>
  <si>
    <t>(GaroPeople)-[HAVE_DIVERSIFIED_INTO]-&gt;(Business)</t>
  </si>
  <si>
    <t>(GaroPeople)-[HAVE_MIGRATED_TO]-&gt;(Cities)</t>
  </si>
  <si>
    <t>(GaroPeople)-[HAVE_MIGRATED_TO]-&gt;(BetterPay)</t>
  </si>
  <si>
    <t>(GaroPeople)-[PRIMARY_OCCUPATION_IS]-&gt;(Farming)</t>
  </si>
  <si>
    <t>(GaroCommunity)-[HAS_INCREASING_RURAL_URBAN]-&gt;(Migration)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</si>
</sst>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0"/>
      <name val="Calibri"/>
      <family val="2"/>
      <scheme val="minor"/>
    </font>
    <font>
      <b/>
      <sz val="13"/>
      <color rgb="FFFFFFFF"/>
      <name val="Arial"/>
    </font>
    <font>
      <i/>
      <sz val="10"/>
      <color rgb="FFFFFFFF"/>
      <name val="Arial"/>
    </font>
    <font>
      <sz val="10"/>
      <name val="Arial"/>
    </font>
    <font>
      <b/>
      <sz val="11"/>
      <color rgb="FFFFFFFF"/>
      <name val="Arial"/>
    </font>
    <font>
      <sz val="10"/>
      <color rgb="FF1F1F1F"/>
      <name val="Arial"/>
    </font>
    <font>
      <b/>
      <sz val="10"/>
      <color rgb="FF1F1F1F"/>
      <name val="Arial"/>
    </font>
    <font>
      <b/>
      <sz val="10"/>
      <color rgb="FF375623"/>
      <name val="Arial"/>
    </font>
    <font>
      <i/>
      <sz val="10"/>
      <color rgb="FF1F1F1F"/>
      <name val="Arial"/>
    </font>
    <font>
      <sz val="8"/>
      <name val="Calibri"/>
      <family val="2"/>
      <scheme val="minor"/>
    </font>
    <font>
      <sz val="13.5"/>
      <color rgb="FF000000"/>
      <name val="-Webkit-Standard"/>
      <charset val="1"/>
    </font>
    <font>
      <b/>
      <sz val="10"/>
      <color rgb="FFFFFFFF"/>
      <name val="Arial"/>
      <family val="2"/>
    </font>
    <font>
      <sz val="10"/>
      <color rgb="FF1F1F1F"/>
      <name val="Arial"/>
      <family val="2"/>
    </font>
    <font>
      <b/>
      <sz val="10"/>
      <color rgb="FF375623"/>
      <name val="Arial"/>
      <family val="2"/>
    </font>
    <font>
      <b/>
      <sz val="10"/>
      <color rgb="FF7D4E00"/>
      <name val="Arial"/>
      <family val="2"/>
    </font>
    <font>
      <b/>
      <sz val="10"/>
      <color rgb="FF843C0C"/>
      <name val="Arial"/>
      <family val="2"/>
    </font>
    <font>
      <sz val="10"/>
      <name val="Arial"/>
      <family val="2"/>
    </font>
    <font>
      <sz val="9"/>
      <color rgb="FF595959"/>
      <name val="Arial"/>
      <family val="2"/>
    </font>
    <font>
      <b/>
      <sz val="10"/>
      <color theme="7" tint="-0.499984740745262"/>
      <name val="Arial"/>
      <family val="2"/>
    </font>
    <font>
      <b/>
      <sz val="10"/>
      <color theme="9" tint="-0.499984740745262"/>
      <name val="Arial"/>
      <family val="2"/>
    </font>
    <font>
      <u/>
      <sz val="11"/>
      <color theme="10"/>
      <name val="Calibri"/>
      <family val="2"/>
      <scheme val="minor"/>
    </font>
  </fonts>
  <fills count="17">
    <fill>
      <patternFill patternType="none"/>
    </fill>
    <fill>
      <patternFill patternType="gray125"/>
    </fill>
    <fill>
      <patternFill patternType="solid">
        <fgColor theme="4" tint="0.59999389629810485"/>
        <bgColor indexed="64"/>
      </patternFill>
    </fill>
    <fill>
      <patternFill patternType="solid">
        <fgColor rgb="FF1F3864"/>
      </patternFill>
    </fill>
    <fill>
      <patternFill patternType="solid">
        <fgColor rgb="FF2E74B5"/>
      </patternFill>
    </fill>
    <fill>
      <patternFill patternType="solid">
        <fgColor rgb="FFFFFFFF"/>
      </patternFill>
    </fill>
    <fill>
      <patternFill patternType="solid">
        <fgColor rgb="FFDEEAF1"/>
      </patternFill>
    </fill>
    <fill>
      <patternFill patternType="solid">
        <fgColor rgb="FFBDD7EE"/>
      </patternFill>
    </fill>
    <fill>
      <patternFill patternType="solid">
        <fgColor rgb="FFF2F8FC"/>
      </patternFill>
    </fill>
    <fill>
      <patternFill patternType="solid">
        <fgColor rgb="FFE2EFDA"/>
      </patternFill>
    </fill>
    <fill>
      <patternFill patternType="solid">
        <fgColor rgb="FFFFF2CC"/>
      </patternFill>
    </fill>
    <fill>
      <patternFill patternType="solid">
        <fgColor theme="4"/>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CE4D6"/>
      </patternFill>
    </fill>
    <fill>
      <patternFill patternType="solid">
        <fgColor rgb="FFFF7C80"/>
        <bgColor indexed="64"/>
      </patternFill>
    </fill>
    <fill>
      <patternFill patternType="solid">
        <fgColor theme="9" tint="0.79998168889431442"/>
        <bgColor indexed="64"/>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2">
    <xf numFmtId="0" fontId="0" fillId="0" borderId="0"/>
    <xf numFmtId="0" fontId="21" fillId="0" borderId="0" applyNumberFormat="0" applyFill="0" applyBorder="0" applyAlignment="0" applyProtection="0"/>
  </cellStyleXfs>
  <cellXfs count="41">
    <xf numFmtId="0" fontId="0" fillId="0" borderId="0" xfId="0"/>
    <xf numFmtId="0" fontId="0" fillId="2" borderId="0" xfId="0" applyFill="1"/>
    <xf numFmtId="0" fontId="4" fillId="5" borderId="0" xfId="0" applyFont="1" applyFill="1"/>
    <xf numFmtId="0" fontId="6" fillId="6" borderId="1" xfId="0" applyFont="1" applyFill="1" applyBorder="1" applyAlignment="1">
      <alignment horizontal="left" vertical="center" wrapText="1"/>
    </xf>
    <xf numFmtId="0" fontId="7" fillId="7" borderId="1" xfId="0" applyFont="1" applyFill="1" applyBorder="1" applyAlignment="1">
      <alignment horizontal="left" vertical="center"/>
    </xf>
    <xf numFmtId="0" fontId="6" fillId="6" borderId="1" xfId="0" applyFont="1" applyFill="1" applyBorder="1" applyAlignment="1">
      <alignment horizontal="left" vertical="center"/>
    </xf>
    <xf numFmtId="0" fontId="6" fillId="8" borderId="1" xfId="0" applyFont="1" applyFill="1" applyBorder="1" applyAlignment="1">
      <alignment horizontal="left" vertical="center"/>
    </xf>
    <xf numFmtId="0" fontId="6" fillId="8" borderId="1" xfId="0" applyFont="1" applyFill="1" applyBorder="1" applyAlignment="1">
      <alignment horizontal="left" vertical="center" wrapText="1"/>
    </xf>
    <xf numFmtId="0" fontId="8" fillId="9" borderId="1" xfId="0" applyFont="1" applyFill="1" applyBorder="1" applyAlignment="1">
      <alignment horizontal="left" vertical="center"/>
    </xf>
    <xf numFmtId="0" fontId="6" fillId="9" borderId="1" xfId="0" applyFont="1" applyFill="1" applyBorder="1" applyAlignment="1">
      <alignment horizontal="left" vertical="center" wrapText="1"/>
    </xf>
    <xf numFmtId="0" fontId="8" fillId="5" borderId="1" xfId="0" applyFont="1" applyFill="1" applyBorder="1" applyAlignment="1">
      <alignment horizontal="left" vertical="center"/>
    </xf>
    <xf numFmtId="0" fontId="6" fillId="5" borderId="1" xfId="0" applyFont="1" applyFill="1" applyBorder="1" applyAlignment="1">
      <alignment horizontal="left" vertical="center" wrapText="1"/>
    </xf>
    <xf numFmtId="0" fontId="7" fillId="10" borderId="1" xfId="0" applyFont="1" applyFill="1" applyBorder="1" applyAlignment="1">
      <alignment horizontal="left" vertical="center"/>
    </xf>
    <xf numFmtId="0" fontId="9" fillId="10" borderId="1" xfId="0" applyFont="1" applyFill="1" applyBorder="1" applyAlignment="1">
      <alignment horizontal="left" vertical="center" wrapText="1"/>
    </xf>
    <xf numFmtId="0" fontId="7" fillId="5" borderId="1" xfId="0" applyFont="1" applyFill="1" applyBorder="1" applyAlignment="1">
      <alignment horizontal="left" vertical="center"/>
    </xf>
    <xf numFmtId="0" fontId="6" fillId="10" borderId="1" xfId="0" applyFont="1" applyFill="1" applyBorder="1" applyAlignment="1">
      <alignment horizontal="left" vertical="center" wrapText="1"/>
    </xf>
    <xf numFmtId="0" fontId="0" fillId="0" borderId="0" xfId="0" applyAlignment="1">
      <alignment wrapText="1"/>
    </xf>
    <xf numFmtId="0" fontId="11" fillId="0" borderId="0" xfId="0" applyFont="1"/>
    <xf numFmtId="0" fontId="12" fillId="4" borderId="1" xfId="0" applyFont="1" applyFill="1" applyBorder="1" applyAlignment="1">
      <alignment horizontal="center" vertical="center"/>
    </xf>
    <xf numFmtId="0" fontId="13" fillId="8" borderId="1" xfId="0" applyFont="1" applyFill="1" applyBorder="1" applyAlignment="1">
      <alignment horizontal="left" vertical="center"/>
    </xf>
    <xf numFmtId="0" fontId="13" fillId="5" borderId="1" xfId="0" applyFont="1" applyFill="1" applyBorder="1" applyAlignment="1">
      <alignment horizontal="left" vertical="center"/>
    </xf>
    <xf numFmtId="0" fontId="14" fillId="9" borderId="1" xfId="0" applyFont="1" applyFill="1" applyBorder="1" applyAlignment="1">
      <alignment horizontal="center" vertical="center"/>
    </xf>
    <xf numFmtId="0" fontId="15" fillId="10" borderId="1" xfId="0" applyFont="1" applyFill="1" applyBorder="1" applyAlignment="1">
      <alignment horizontal="center" vertical="center"/>
    </xf>
    <xf numFmtId="0" fontId="16" fillId="14" borderId="1" xfId="0" applyFont="1" applyFill="1" applyBorder="1" applyAlignment="1">
      <alignment horizontal="center" vertical="center"/>
    </xf>
    <xf numFmtId="0" fontId="17" fillId="5" borderId="1" xfId="0" applyFont="1" applyFill="1" applyBorder="1" applyAlignment="1">
      <alignment horizontal="center" vertical="center"/>
    </xf>
    <xf numFmtId="0" fontId="17" fillId="8" borderId="1" xfId="0" applyFont="1" applyFill="1" applyBorder="1" applyAlignment="1">
      <alignment horizontal="center" vertical="center"/>
    </xf>
    <xf numFmtId="0" fontId="18" fillId="5" borderId="1" xfId="0" applyFont="1" applyFill="1" applyBorder="1" applyAlignment="1">
      <alignment horizontal="left" vertical="center" wrapText="1"/>
    </xf>
    <xf numFmtId="0" fontId="18" fillId="8" borderId="1" xfId="0" applyFont="1" applyFill="1" applyBorder="1" applyAlignment="1">
      <alignment horizontal="left" vertical="center" wrapText="1"/>
    </xf>
    <xf numFmtId="0" fontId="15" fillId="15" borderId="1" xfId="0" applyFont="1" applyFill="1" applyBorder="1" applyAlignment="1">
      <alignment horizontal="center" vertical="center"/>
    </xf>
    <xf numFmtId="0" fontId="19" fillId="12" borderId="1" xfId="0" applyFont="1" applyFill="1" applyBorder="1" applyAlignment="1">
      <alignment horizontal="center" vertical="center"/>
    </xf>
    <xf numFmtId="0" fontId="20" fillId="16" borderId="1" xfId="0" applyFont="1" applyFill="1" applyBorder="1" applyAlignment="1">
      <alignment horizontal="center" vertical="center"/>
    </xf>
    <xf numFmtId="0" fontId="21" fillId="0" borderId="0" xfId="1"/>
    <xf numFmtId="0" fontId="1" fillId="11" borderId="0" xfId="0" applyFont="1" applyFill="1" applyAlignment="1">
      <alignment horizontal="center"/>
    </xf>
    <xf numFmtId="0" fontId="5" fillId="3" borderId="1" xfId="0" applyFont="1" applyFill="1" applyBorder="1" applyAlignment="1">
      <alignment horizontal="left" vertical="center" wrapText="1"/>
    </xf>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0" fillId="12" borderId="0" xfId="0" applyFill="1" applyAlignment="1">
      <alignment horizontal="center" wrapText="1"/>
    </xf>
    <xf numFmtId="0" fontId="0" fillId="0" borderId="0" xfId="0" applyAlignment="1">
      <alignment horizontal="center"/>
    </xf>
    <xf numFmtId="0" fontId="0" fillId="13" borderId="0" xfId="0" applyFill="1" applyAlignment="1">
      <alignment horizontal="center" wrapText="1"/>
    </xf>
  </cellXfs>
  <cellStyles count="2">
    <cellStyle name="Hyperlink" xfId="1" builtinId="8"/>
    <cellStyle name="Normal" xfId="0" builtinId="0"/>
  </cellStyles>
  <dxfs count="17">
    <dxf>
      <alignment vertical="bottom" textRotation="0" wrapText="1" indent="0" justifyLastLine="0" shrinkToFit="0" readingOrder="0"/>
    </dxf>
    <dxf>
      <alignment vertical="bottom" textRotation="0" wrapText="1" indent="0" justifyLastLine="0" shrinkToFit="0" readingOrder="0"/>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alignment vertical="bottom" textRotation="0" wrapText="1" indent="0" justifyLastLine="0" shrinkToFit="0" readingOrder="0"/>
    </dxf>
    <dxf>
      <numFmt numFmtId="0" formatCode="General"/>
      <alignment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vertical="bottom" textRotation="0" wrapText="1" indent="0" justifyLastLine="0" shrinkToFit="0" readingOrder="0"/>
    </dxf>
    <dxf>
      <numFmt numFmtId="0" formatCode="General"/>
      <alignment vertical="bottom" textRotation="0" wrapText="1" indent="0" justifyLastLine="0" shrinkToFit="0" readingOrder="0"/>
    </dxf>
    <dxf>
      <numFmt numFmtId="0" formatCode="General"/>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ill>
        <patternFill patternType="solid">
          <fgColor indexed="64"/>
          <bgColor theme="4" tint="0.59999389629810485"/>
        </patternFill>
      </fill>
    </dxf>
  </dxfs>
  <tableStyles count="0" defaultTableStyle="TableStyleMedium2" defaultPivotStyle="PivotStyleMedium9"/>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0C70D8-8F0D-4C2C-A732-15C3D2D9AB75}" name="Table1" displayName="Table1" ref="A2:B16" totalsRowShown="0" headerRowDxfId="16">
  <autoFilter ref="A2:B16" xr:uid="{890C70D8-8F0D-4C2C-A732-15C3D2D9AB75}"/>
  <tableColumns count="2">
    <tableColumn id="1" xr3:uid="{B9C07AF3-7BEE-4C4C-BBF0-174D87ECE72C}" name="Field"/>
    <tableColumn id="2" xr3:uid="{BF7052BE-C6FC-45DF-8825-DCB964A41A04}" name="Value"/>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00FD48-E882-4032-AE9D-A927BC57BA4F}" name="Table3" displayName="Table3" ref="A3:D108" totalsRowShown="0">
  <autoFilter ref="A3:D108" xr:uid="{4700FD48-E882-4032-AE9D-A927BC57BA4F}"/>
  <tableColumns count="4">
    <tableColumn id="1" xr3:uid="{966981FD-01CD-4B84-8D2C-F5A4A8F73736}" name="Sentence #"/>
    <tableColumn id="2" xr3:uid="{F6CCAC93-58AA-4892-A392-613E7BD90243}" name="Page / Para" dataDxfId="15"/>
    <tableColumn id="3" xr3:uid="{BF957140-C66F-4B8F-A27D-E223FF426CA9}" name="Extracted Sentence (verbatim)" dataDxfId="14"/>
    <tableColumn id="4" xr3:uid="{15256D8C-E982-4BBF-964A-EE4BA3F3AD65}" name="Why informative (brief no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D820CD-D78D-4B8B-BE58-C5E1BBA62053}" name="Table4" displayName="Table4" ref="A3:C108" totalsRowShown="0">
  <autoFilter ref="A3:C108" xr:uid="{91D820CD-D78D-4B8B-BE58-C5E1BBA62053}"/>
  <tableColumns count="3">
    <tableColumn id="1" xr3:uid="{A8404FD3-09BF-48F2-8FBF-00767FE2C49A}" name="Sentence #"/>
    <tableColumn id="2" xr3:uid="{4F4E889E-59D1-4F9F-BB06-741540BA00D7}" name="Sentence (from step 1)" dataDxfId="13">
      <calculatedColumnFormula>Table3[[#This Row],[Extracted Sentence (verbatim)]]</calculatedColumnFormula>
    </tableColumn>
    <tableColumn id="3" xr3:uid="{45BA6E62-D0E7-4B49-B81F-FD50DCFB39F0}" name="Subject / Main entity">
      <calculatedColumnFormula>Table5[[#This Row],[Subject (Node A)]]</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DF2BC29-C198-450E-9249-919D2B2E606D}" name="Table5" displayName="Table5" ref="A3:F108" totalsRowShown="0">
  <autoFilter ref="A3:F108" xr:uid="{DDF2BC29-C198-450E-9249-919D2B2E606D}"/>
  <tableColumns count="6">
    <tableColumn id="1" xr3:uid="{CC2FF9B1-228C-4A25-830A-912195A84CEC}" name="Sentence #"/>
    <tableColumn id="6" xr3:uid="{EC348F42-9201-4BB6-B183-9AE4BDA2BB1D}" name="Sentence" dataDxfId="12">
      <calculatedColumnFormula>Table3[[#This Row],[Extracted Sentence (verbatim)]]</calculatedColumnFormula>
    </tableColumn>
    <tableColumn id="2" xr3:uid="{DAF965BD-F1E5-46E5-897B-F022FFCD1BE2}" name="Core Fact (simplified statement)" dataDxfId="11"/>
    <tableColumn id="3" xr3:uid="{D17C192C-FFA4-4B84-9202-3EDB84710612}" name="Subject (Node A)" dataDxfId="10">
      <calculatedColumnFormula>Table4[[#This Row],[Subject / Main entity]]</calculatedColumnFormula>
    </tableColumn>
    <tableColumn id="4" xr3:uid="{E14B3AF4-9B18-44FA-9D50-911D611E977E}" name="Predicate" dataDxfId="9"/>
    <tableColumn id="5" xr3:uid="{C0AE4FD1-9023-41D1-8906-711BE300B59B}" name="Object (Node B)"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57F63ED-2457-4A45-86E2-ADD8BE385525}" name="Table6" displayName="Table6" ref="A3:G108" totalsRowShown="0">
  <autoFilter ref="A3:G108" xr:uid="{D57F63ED-2457-4A45-86E2-ADD8BE385525}"/>
  <tableColumns count="7">
    <tableColumn id="1" xr3:uid="{0D63E7A6-0420-4AD3-AE42-880234041435}" name="Sentence #"/>
    <tableColumn id="2" xr3:uid="{F7301EE5-F999-43D1-AE74-C750C76EFC2C}" name="Node A (Subject)" dataDxfId="7">
      <calculatedColumnFormula>Table5[[#This Row],[Subject (Node A)]]</calculatedColumnFormula>
    </tableColumn>
    <tableColumn id="3" xr3:uid="{6E96C2FE-A097-4C83-BC76-AD2297DBF3B8}" name="Node B (Object)" dataDxfId="6">
      <calculatedColumnFormula>Table5[[#This Row],[Object (Node B)]]</calculatedColumnFormula>
    </tableColumn>
    <tableColumn id="7" xr3:uid="{A2BF8ACF-E802-430B-930B-D0029B99D787}" name="Predicate" dataDxfId="5">
      <calculatedColumnFormula>Table5[[#This Row],[Predicate]]</calculatedColumnFormula>
    </tableColumn>
    <tableColumn id="4" xr3:uid="{E5364E97-6428-4462-8D94-4FA262F05658}" name="Relationship Label" dataDxfId="4">
      <calculatedColumnFormula>Table5[[#This Row],[Predicate]]</calculatedColumnFormula>
    </tableColumn>
    <tableColumn id="5" xr3:uid="{BD20BEC7-5DF2-4126-B0FD-0D87D3ADF033}" name="Cypher" dataDxfId="3">
      <calculatedColumnFormula>IF(B4="","","("&amp;B4&amp;")-["&amp;E4&amp;"]-&gt;("&amp;C4&amp;")")</calculatedColumnFormula>
    </tableColumn>
    <tableColumn id="6" xr3:uid="{D26BCD19-9B89-4714-990E-E95326845BCB}" name="Confidenc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BB4D06A-673D-44F3-8214-5069C4115BA7}" name="Table7" displayName="Table7" ref="A3:F106" totalsRowShown="0">
  <autoFilter ref="A3:F106" xr:uid="{4BB4D06A-673D-44F3-8214-5069C4115BA7}"/>
  <tableColumns count="6">
    <tableColumn id="1" xr3:uid="{655496DC-3CDF-48AD-87A1-A9EAB353CCA1}" name="Ref #"/>
    <tableColumn id="2" xr3:uid="{DDF5798A-4D18-4EF9-A8F8-BCF840E38CEA}" name="Member A Triple" dataDxfId="2">
      <calculatedColumnFormula>Table6[[#This Row],[Cypher]]</calculatedColumnFormula>
    </tableColumn>
    <tableColumn id="3" xr3:uid="{9F837851-AC32-46F6-A226-058EB515D800}" name="Member B Triple"/>
    <tableColumn id="4" xr3:uid="{4F270A9C-1546-4922-B013-52D08F28939C}" name="Agree Final Triple"/>
    <tableColumn id="5" xr3:uid="{D8B4808C-CB1F-46BA-B787-018298670CFD}" name="Discrepancy / Notes" dataDxfId="1"/>
    <tableColumn id="6" xr3:uid="{D9510D47-3D1E-444A-904E-360A4F9BE07C}" name="Statu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5E10EC-2AA9-49CA-94D8-ADC289B43AA8}" name="Table2" displayName="Table2" ref="A109:E130" totalsRowShown="0">
  <autoFilter ref="A109:E130" xr:uid="{4F5E10EC-2AA9-49CA-94D8-ADC289B43AA8}"/>
  <tableColumns count="5">
    <tableColumn id="1" xr3:uid="{4AFDBB75-9BE0-48BE-8CD5-73747ED5336E}" name="ID"/>
    <tableColumn id="2" xr3:uid="{1AA58D8D-3FBA-4649-A7D6-F39B5A431059}" name="Missed Triple"/>
    <tableColumn id="3" xr3:uid="{D844B605-749E-4457-B605-D97DEF99D02F}" name="Final Triple"/>
    <tableColumn id="4" xr3:uid="{BA5F4F61-7224-417A-BECE-9FB4899C3F59}" name="Notes"/>
    <tableColumn id="5" xr3:uid="{E3B7B8AC-EC6F-4699-A316-512CBB5A83DF}" name="Statu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oi.org/10.54922/IJEHSS.2023.0511"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tabSelected="1" zoomScaleNormal="100" workbookViewId="0">
      <selection activeCell="B13" sqref="B13"/>
    </sheetView>
  </sheetViews>
  <sheetFormatPr defaultRowHeight="14.25"/>
  <cols>
    <col min="1" max="1" width="24" customWidth="1"/>
    <col min="2" max="2" width="76" customWidth="1"/>
  </cols>
  <sheetData>
    <row r="1" spans="1:2">
      <c r="A1" s="35" t="s">
        <v>0</v>
      </c>
      <c r="B1" s="34"/>
    </row>
    <row r="2" spans="1:2" ht="25.5" customHeight="1">
      <c r="A2" s="36" t="s">
        <v>1</v>
      </c>
      <c r="B2" s="34"/>
    </row>
    <row r="3" spans="1:2">
      <c r="A3" s="2"/>
      <c r="B3" s="2"/>
    </row>
    <row r="4" spans="1:2">
      <c r="A4" s="33" t="s">
        <v>2</v>
      </c>
      <c r="B4" s="34"/>
    </row>
    <row r="5" spans="1:2" ht="46.5" customHeight="1">
      <c r="A5" s="37" t="s">
        <v>3</v>
      </c>
      <c r="B5" s="34"/>
    </row>
    <row r="6" spans="1:2">
      <c r="A6" s="2"/>
      <c r="B6" s="2"/>
    </row>
    <row r="7" spans="1:2">
      <c r="A7" s="33" t="s">
        <v>4</v>
      </c>
      <c r="B7" s="34"/>
    </row>
    <row r="8" spans="1:2">
      <c r="A8" s="4" t="s">
        <v>5</v>
      </c>
      <c r="B8" s="4" t="s">
        <v>6</v>
      </c>
    </row>
    <row r="9" spans="1:2">
      <c r="A9" s="5" t="s">
        <v>7</v>
      </c>
      <c r="B9" s="3" t="s">
        <v>8</v>
      </c>
    </row>
    <row r="10" spans="1:2">
      <c r="A10" s="6" t="s">
        <v>9</v>
      </c>
      <c r="B10" s="7" t="s">
        <v>10</v>
      </c>
    </row>
    <row r="11" spans="1:2">
      <c r="A11" s="5" t="s">
        <v>11</v>
      </c>
      <c r="B11" s="3" t="s">
        <v>12</v>
      </c>
    </row>
    <row r="12" spans="1:2" ht="25.5">
      <c r="A12" s="6" t="s">
        <v>13</v>
      </c>
      <c r="B12" s="7" t="s">
        <v>14</v>
      </c>
    </row>
    <row r="13" spans="1:2" ht="25.5">
      <c r="A13" s="5" t="s">
        <v>15</v>
      </c>
      <c r="B13" s="3" t="s">
        <v>16</v>
      </c>
    </row>
    <row r="14" spans="1:2" ht="25.5">
      <c r="A14" s="6" t="s">
        <v>17</v>
      </c>
      <c r="B14" s="7" t="s">
        <v>18</v>
      </c>
    </row>
    <row r="15" spans="1:2">
      <c r="A15" s="2"/>
      <c r="B15" s="2"/>
    </row>
    <row r="16" spans="1:2">
      <c r="A16" s="33" t="s">
        <v>19</v>
      </c>
      <c r="B16" s="34"/>
    </row>
    <row r="17" spans="1:2">
      <c r="A17" s="8" t="s">
        <v>20</v>
      </c>
      <c r="B17" s="9" t="s">
        <v>21</v>
      </c>
    </row>
    <row r="18" spans="1:2" ht="25.5">
      <c r="A18" s="10" t="s">
        <v>22</v>
      </c>
      <c r="B18" s="11" t="s">
        <v>23</v>
      </c>
    </row>
    <row r="19" spans="1:2">
      <c r="A19" s="8" t="s">
        <v>24</v>
      </c>
      <c r="B19" s="9" t="s">
        <v>25</v>
      </c>
    </row>
    <row r="20" spans="1:2" ht="25.5">
      <c r="A20" s="10" t="s">
        <v>26</v>
      </c>
      <c r="B20" s="11" t="s">
        <v>27</v>
      </c>
    </row>
    <row r="21" spans="1:2" ht="25.5">
      <c r="A21" s="8" t="s">
        <v>28</v>
      </c>
      <c r="B21" s="9" t="s">
        <v>29</v>
      </c>
    </row>
    <row r="22" spans="1:2" ht="25.5">
      <c r="A22" s="10" t="s">
        <v>30</v>
      </c>
      <c r="B22" s="11" t="s">
        <v>31</v>
      </c>
    </row>
    <row r="23" spans="1:2">
      <c r="A23" s="2"/>
      <c r="B23" s="2"/>
    </row>
    <row r="24" spans="1:2">
      <c r="A24" s="33" t="s">
        <v>32</v>
      </c>
      <c r="B24" s="34"/>
    </row>
    <row r="25" spans="1:2">
      <c r="A25" s="4" t="s">
        <v>33</v>
      </c>
      <c r="B25" s="4" t="s">
        <v>34</v>
      </c>
    </row>
    <row r="26" spans="1:2">
      <c r="A26" s="12" t="s">
        <v>35</v>
      </c>
      <c r="B26" s="13" t="s">
        <v>36</v>
      </c>
    </row>
    <row r="27" spans="1:2">
      <c r="A27" s="14" t="s">
        <v>37</v>
      </c>
      <c r="B27" s="11" t="s">
        <v>38</v>
      </c>
    </row>
    <row r="28" spans="1:2">
      <c r="A28" s="12" t="s">
        <v>39</v>
      </c>
      <c r="B28" s="15" t="s">
        <v>40</v>
      </c>
    </row>
    <row r="29" spans="1:2">
      <c r="A29" s="14" t="s">
        <v>41</v>
      </c>
      <c r="B29" s="11" t="s">
        <v>42</v>
      </c>
    </row>
    <row r="30" spans="1:2">
      <c r="A30" s="2"/>
      <c r="B30" s="2"/>
    </row>
    <row r="31" spans="1:2">
      <c r="A31" s="2"/>
      <c r="B31" s="2"/>
    </row>
    <row r="32" spans="1:2">
      <c r="A32" s="2"/>
      <c r="B32" s="2"/>
    </row>
    <row r="33" spans="1:2">
      <c r="A33" s="2"/>
      <c r="B33" s="2"/>
    </row>
    <row r="34" spans="1:2">
      <c r="A34" s="2"/>
      <c r="B34" s="2"/>
    </row>
    <row r="35" spans="1:2">
      <c r="A35" s="2"/>
      <c r="B35" s="2"/>
    </row>
    <row r="36" spans="1:2">
      <c r="A36" s="2"/>
      <c r="B36" s="2"/>
    </row>
    <row r="37" spans="1:2">
      <c r="A37" s="2"/>
      <c r="B37" s="2"/>
    </row>
    <row r="38" spans="1:2">
      <c r="A38" s="2"/>
      <c r="B38" s="2"/>
    </row>
    <row r="39" spans="1:2">
      <c r="A39" s="2"/>
      <c r="B39" s="2"/>
    </row>
    <row r="40" spans="1:2">
      <c r="A40" s="2"/>
      <c r="B40" s="2"/>
    </row>
  </sheetData>
  <mergeCells count="7">
    <mergeCell ref="A7:B7"/>
    <mergeCell ref="A16:B16"/>
    <mergeCell ref="A24:B24"/>
    <mergeCell ref="A1:B1"/>
    <mergeCell ref="A2:B2"/>
    <mergeCell ref="A4:B4"/>
    <mergeCell ref="A5:B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50B7E-F5A3-4630-937D-34BAFE625597}">
  <dimension ref="A1:B16"/>
  <sheetViews>
    <sheetView zoomScale="117" workbookViewId="0">
      <selection activeCell="B7" sqref="B7"/>
    </sheetView>
  </sheetViews>
  <sheetFormatPr defaultRowHeight="14.25"/>
  <cols>
    <col min="1" max="1" width="21.1328125" bestFit="1" customWidth="1"/>
    <col min="2" max="2" width="95.59765625" bestFit="1" customWidth="1"/>
  </cols>
  <sheetData>
    <row r="1" spans="1:2">
      <c r="A1" s="32" t="s">
        <v>7</v>
      </c>
      <c r="B1" s="32"/>
    </row>
    <row r="2" spans="1:2">
      <c r="A2" s="1" t="s">
        <v>43</v>
      </c>
      <c r="B2" s="1" t="s">
        <v>44</v>
      </c>
    </row>
    <row r="3" spans="1:2">
      <c r="A3" t="s">
        <v>45</v>
      </c>
      <c r="B3" t="s">
        <v>46</v>
      </c>
    </row>
    <row r="4" spans="1:2">
      <c r="A4" t="s">
        <v>47</v>
      </c>
      <c r="B4" t="s">
        <v>48</v>
      </c>
    </row>
    <row r="5" spans="1:2">
      <c r="A5" t="s">
        <v>49</v>
      </c>
      <c r="B5">
        <v>2023</v>
      </c>
    </row>
    <row r="6" spans="1:2">
      <c r="A6" t="s">
        <v>50</v>
      </c>
      <c r="B6" t="s">
        <v>51</v>
      </c>
    </row>
    <row r="7" spans="1:2">
      <c r="A7" t="s">
        <v>52</v>
      </c>
      <c r="B7" s="31" t="s">
        <v>53</v>
      </c>
    </row>
    <row r="8" spans="1:2">
      <c r="A8" t="s">
        <v>54</v>
      </c>
      <c r="B8" t="s">
        <v>55</v>
      </c>
    </row>
    <row r="9" spans="1:2">
      <c r="A9" t="s">
        <v>56</v>
      </c>
      <c r="B9" t="s">
        <v>57</v>
      </c>
    </row>
    <row r="10" spans="1:2">
      <c r="A10" t="s">
        <v>58</v>
      </c>
      <c r="B10" t="s">
        <v>59</v>
      </c>
    </row>
    <row r="11" spans="1:2">
      <c r="A11" t="s">
        <v>60</v>
      </c>
      <c r="B11" t="s">
        <v>61</v>
      </c>
    </row>
    <row r="12" spans="1:2">
      <c r="A12" t="s">
        <v>62</v>
      </c>
      <c r="B12" t="s">
        <v>63</v>
      </c>
    </row>
    <row r="13" spans="1:2">
      <c r="A13" t="s">
        <v>64</v>
      </c>
      <c r="B13" t="s">
        <v>65</v>
      </c>
    </row>
    <row r="14" spans="1:2">
      <c r="A14" t="s">
        <v>66</v>
      </c>
      <c r="B14" t="s">
        <v>67</v>
      </c>
    </row>
    <row r="15" spans="1:2">
      <c r="A15" t="s">
        <v>68</v>
      </c>
    </row>
    <row r="16" spans="1:2" ht="28.5">
      <c r="A16" t="s">
        <v>69</v>
      </c>
      <c r="B16" s="16" t="s">
        <v>70</v>
      </c>
    </row>
  </sheetData>
  <mergeCells count="1">
    <mergeCell ref="A1:B1"/>
  </mergeCells>
  <hyperlinks>
    <hyperlink ref="B7" r:id="rId1" xr:uid="{40E882E1-FD21-4E3B-ACF2-99077123317F}"/>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4F3FC-C1D7-46D6-8EED-6EAFB1635EE3}">
  <dimension ref="A1:D128"/>
  <sheetViews>
    <sheetView workbookViewId="0">
      <selection activeCell="H13" sqref="H13"/>
    </sheetView>
  </sheetViews>
  <sheetFormatPr defaultRowHeight="14.25"/>
  <cols>
    <col min="1" max="1" width="12.1328125" customWidth="1"/>
    <col min="2" max="2" width="18.73046875" style="16" bestFit="1" customWidth="1"/>
    <col min="3" max="3" width="58.3984375" style="16" bestFit="1" customWidth="1"/>
    <col min="4" max="4" width="27.265625" customWidth="1"/>
  </cols>
  <sheetData>
    <row r="1" spans="1:4">
      <c r="A1" s="32" t="s">
        <v>71</v>
      </c>
      <c r="B1" s="32"/>
      <c r="C1" s="32"/>
      <c r="D1" s="32"/>
    </row>
    <row r="2" spans="1:4" ht="46.5" customHeight="1">
      <c r="A2" s="38" t="s">
        <v>72</v>
      </c>
      <c r="B2" s="38"/>
      <c r="C2" s="38"/>
      <c r="D2" s="38"/>
    </row>
    <row r="3" spans="1:4">
      <c r="A3" t="s">
        <v>73</v>
      </c>
      <c r="B3" s="16" t="s">
        <v>74</v>
      </c>
      <c r="C3" s="16" t="s">
        <v>75</v>
      </c>
      <c r="D3" t="s">
        <v>76</v>
      </c>
    </row>
    <row r="4" spans="1:4">
      <c r="A4" t="s">
        <v>77</v>
      </c>
      <c r="B4" s="16" t="s">
        <v>78</v>
      </c>
      <c r="C4" s="16" t="s">
        <v>79</v>
      </c>
      <c r="D4" t="s">
        <v>80</v>
      </c>
    </row>
    <row r="5" spans="1:4" ht="28.5">
      <c r="A5" t="s">
        <v>81</v>
      </c>
      <c r="B5" s="16" t="s">
        <v>78</v>
      </c>
      <c r="C5" s="16" t="s">
        <v>82</v>
      </c>
      <c r="D5" t="s">
        <v>83</v>
      </c>
    </row>
    <row r="6" spans="1:4" ht="42.75">
      <c r="A6" t="s">
        <v>84</v>
      </c>
      <c r="B6" s="16" t="s">
        <v>78</v>
      </c>
      <c r="C6" s="16" t="s">
        <v>85</v>
      </c>
      <c r="D6" t="s">
        <v>86</v>
      </c>
    </row>
    <row r="7" spans="1:4">
      <c r="A7" t="s">
        <v>87</v>
      </c>
      <c r="B7" s="16" t="s">
        <v>78</v>
      </c>
      <c r="C7" s="16" t="s">
        <v>88</v>
      </c>
      <c r="D7" t="s">
        <v>89</v>
      </c>
    </row>
    <row r="8" spans="1:4" ht="28.5">
      <c r="A8" t="s">
        <v>90</v>
      </c>
      <c r="B8" s="16" t="s">
        <v>78</v>
      </c>
      <c r="C8" s="16" t="s">
        <v>91</v>
      </c>
      <c r="D8" t="s">
        <v>92</v>
      </c>
    </row>
    <row r="9" spans="1:4" ht="28.5">
      <c r="A9" t="s">
        <v>93</v>
      </c>
      <c r="B9" s="16" t="s">
        <v>94</v>
      </c>
      <c r="C9" s="16" t="s">
        <v>95</v>
      </c>
      <c r="D9" t="s">
        <v>96</v>
      </c>
    </row>
    <row r="10" spans="1:4" ht="42.75">
      <c r="A10" t="s">
        <v>97</v>
      </c>
      <c r="B10" s="16" t="s">
        <v>98</v>
      </c>
      <c r="C10" s="16" t="s">
        <v>99</v>
      </c>
      <c r="D10" t="s">
        <v>96</v>
      </c>
    </row>
    <row r="11" spans="1:4" ht="42.75">
      <c r="A11" t="s">
        <v>100</v>
      </c>
      <c r="B11" s="16" t="s">
        <v>98</v>
      </c>
      <c r="C11" s="16" t="s">
        <v>101</v>
      </c>
      <c r="D11" t="s">
        <v>102</v>
      </c>
    </row>
    <row r="12" spans="1:4" ht="28.5">
      <c r="A12" t="s">
        <v>103</v>
      </c>
      <c r="B12" s="16" t="s">
        <v>98</v>
      </c>
      <c r="C12" s="16" t="s">
        <v>104</v>
      </c>
      <c r="D12" t="s">
        <v>105</v>
      </c>
    </row>
    <row r="13" spans="1:4" ht="28.5">
      <c r="A13" t="s">
        <v>106</v>
      </c>
      <c r="B13" s="16" t="s">
        <v>98</v>
      </c>
      <c r="C13" s="16" t="s">
        <v>107</v>
      </c>
      <c r="D13" t="s">
        <v>89</v>
      </c>
    </row>
    <row r="14" spans="1:4">
      <c r="A14" t="s">
        <v>108</v>
      </c>
      <c r="B14" s="16" t="s">
        <v>109</v>
      </c>
      <c r="C14" s="16" t="s">
        <v>110</v>
      </c>
      <c r="D14" t="s">
        <v>111</v>
      </c>
    </row>
    <row r="15" spans="1:4" ht="57">
      <c r="A15" t="s">
        <v>112</v>
      </c>
      <c r="B15" s="16" t="s">
        <v>109</v>
      </c>
      <c r="C15" s="16" t="s">
        <v>113</v>
      </c>
      <c r="D15" t="s">
        <v>86</v>
      </c>
    </row>
    <row r="16" spans="1:4" ht="28.5">
      <c r="A16" t="s">
        <v>114</v>
      </c>
      <c r="B16" s="16" t="s">
        <v>109</v>
      </c>
      <c r="C16" s="16" t="s">
        <v>115</v>
      </c>
      <c r="D16" t="s">
        <v>86</v>
      </c>
    </row>
    <row r="17" spans="1:4" ht="42.75">
      <c r="A17" t="s">
        <v>116</v>
      </c>
      <c r="B17" s="16" t="s">
        <v>117</v>
      </c>
      <c r="C17" s="16" t="s">
        <v>118</v>
      </c>
      <c r="D17" t="s">
        <v>119</v>
      </c>
    </row>
    <row r="18" spans="1:4" ht="28.5">
      <c r="A18" t="s">
        <v>120</v>
      </c>
      <c r="B18" s="16" t="s">
        <v>117</v>
      </c>
      <c r="C18" s="16" t="s">
        <v>121</v>
      </c>
      <c r="D18" t="s">
        <v>86</v>
      </c>
    </row>
    <row r="19" spans="1:4" ht="28.5">
      <c r="A19" t="s">
        <v>122</v>
      </c>
      <c r="B19" s="16" t="s">
        <v>117</v>
      </c>
      <c r="C19" s="16" t="s">
        <v>123</v>
      </c>
      <c r="D19" t="s">
        <v>92</v>
      </c>
    </row>
    <row r="20" spans="1:4" ht="42.75">
      <c r="A20" t="s">
        <v>124</v>
      </c>
      <c r="B20" s="16" t="s">
        <v>117</v>
      </c>
      <c r="C20" s="16" t="s">
        <v>125</v>
      </c>
      <c r="D20" t="s">
        <v>86</v>
      </c>
    </row>
    <row r="21" spans="1:4" ht="28.5">
      <c r="A21" t="s">
        <v>126</v>
      </c>
      <c r="B21" s="16" t="s">
        <v>127</v>
      </c>
      <c r="C21" s="16" t="s">
        <v>128</v>
      </c>
      <c r="D21" t="s">
        <v>129</v>
      </c>
    </row>
    <row r="22" spans="1:4" ht="28.5">
      <c r="A22" t="s">
        <v>130</v>
      </c>
      <c r="B22" s="16" t="s">
        <v>127</v>
      </c>
      <c r="C22" s="16" t="s">
        <v>131</v>
      </c>
      <c r="D22" t="s">
        <v>132</v>
      </c>
    </row>
    <row r="23" spans="1:4" ht="42.75">
      <c r="A23" t="s">
        <v>133</v>
      </c>
      <c r="B23" s="16" t="s">
        <v>127</v>
      </c>
      <c r="C23" s="16" t="s">
        <v>134</v>
      </c>
      <c r="D23" t="s">
        <v>135</v>
      </c>
    </row>
    <row r="24" spans="1:4" ht="28.5">
      <c r="A24" t="s">
        <v>136</v>
      </c>
      <c r="B24" s="16" t="s">
        <v>127</v>
      </c>
      <c r="C24" s="16" t="s">
        <v>137</v>
      </c>
      <c r="D24" t="s">
        <v>132</v>
      </c>
    </row>
    <row r="25" spans="1:4" ht="42.75">
      <c r="A25" t="s">
        <v>138</v>
      </c>
      <c r="B25" s="16" t="s">
        <v>127</v>
      </c>
      <c r="C25" s="16" t="s">
        <v>139</v>
      </c>
      <c r="D25" t="s">
        <v>140</v>
      </c>
    </row>
    <row r="26" spans="1:4" ht="28.5">
      <c r="A26" t="s">
        <v>141</v>
      </c>
      <c r="B26" s="16" t="s">
        <v>127</v>
      </c>
      <c r="C26" s="16" t="s">
        <v>142</v>
      </c>
      <c r="D26" t="s">
        <v>132</v>
      </c>
    </row>
    <row r="27" spans="1:4">
      <c r="A27" t="s">
        <v>143</v>
      </c>
      <c r="B27" s="16" t="s">
        <v>144</v>
      </c>
      <c r="C27" s="16" t="s">
        <v>145</v>
      </c>
      <c r="D27" t="s">
        <v>146</v>
      </c>
    </row>
    <row r="28" spans="1:4" ht="28.5">
      <c r="A28" t="s">
        <v>147</v>
      </c>
      <c r="B28" s="16" t="s">
        <v>144</v>
      </c>
      <c r="C28" s="16" t="s">
        <v>148</v>
      </c>
      <c r="D28" t="s">
        <v>146</v>
      </c>
    </row>
    <row r="29" spans="1:4" ht="28.5">
      <c r="A29" t="s">
        <v>149</v>
      </c>
      <c r="B29" s="16" t="s">
        <v>144</v>
      </c>
      <c r="C29" s="16" t="s">
        <v>150</v>
      </c>
      <c r="D29" t="s">
        <v>146</v>
      </c>
    </row>
    <row r="30" spans="1:4" ht="28.5">
      <c r="A30" t="s">
        <v>151</v>
      </c>
      <c r="B30" s="16" t="s">
        <v>144</v>
      </c>
      <c r="C30" s="16" t="s">
        <v>152</v>
      </c>
      <c r="D30" t="s">
        <v>146</v>
      </c>
    </row>
    <row r="31" spans="1:4" ht="28.5">
      <c r="A31" t="s">
        <v>153</v>
      </c>
      <c r="B31" s="16" t="s">
        <v>144</v>
      </c>
      <c r="C31" s="16" t="s">
        <v>154</v>
      </c>
      <c r="D31" t="s">
        <v>146</v>
      </c>
    </row>
    <row r="32" spans="1:4" ht="42.75">
      <c r="A32" t="s">
        <v>155</v>
      </c>
      <c r="B32" s="16" t="s">
        <v>144</v>
      </c>
      <c r="C32" s="16" t="s">
        <v>156</v>
      </c>
      <c r="D32" t="s">
        <v>146</v>
      </c>
    </row>
    <row r="33" spans="1:4" ht="42.75">
      <c r="A33" t="s">
        <v>157</v>
      </c>
      <c r="B33" s="16" t="s">
        <v>144</v>
      </c>
      <c r="C33" s="16" t="s">
        <v>158</v>
      </c>
      <c r="D33" t="s">
        <v>146</v>
      </c>
    </row>
    <row r="34" spans="1:4" ht="28.5">
      <c r="A34" t="s">
        <v>159</v>
      </c>
      <c r="B34" s="16" t="s">
        <v>144</v>
      </c>
      <c r="C34" s="16" t="s">
        <v>160</v>
      </c>
      <c r="D34" t="s">
        <v>146</v>
      </c>
    </row>
    <row r="35" spans="1:4" ht="28.5">
      <c r="A35" t="s">
        <v>161</v>
      </c>
      <c r="B35" s="16" t="s">
        <v>162</v>
      </c>
      <c r="C35" s="16" t="s">
        <v>163</v>
      </c>
      <c r="D35" t="s">
        <v>164</v>
      </c>
    </row>
    <row r="36" spans="1:4" ht="42.75">
      <c r="A36" t="s">
        <v>165</v>
      </c>
      <c r="B36" s="16" t="s">
        <v>162</v>
      </c>
      <c r="C36" s="16" t="s">
        <v>166</v>
      </c>
      <c r="D36" t="s">
        <v>164</v>
      </c>
    </row>
    <row r="37" spans="1:4" ht="28.5">
      <c r="A37" t="s">
        <v>167</v>
      </c>
      <c r="B37" s="16" t="s">
        <v>162</v>
      </c>
      <c r="C37" s="16" t="s">
        <v>168</v>
      </c>
      <c r="D37" t="s">
        <v>164</v>
      </c>
    </row>
    <row r="38" spans="1:4" ht="71.25">
      <c r="A38" t="s">
        <v>169</v>
      </c>
      <c r="B38" s="16" t="s">
        <v>162</v>
      </c>
      <c r="C38" s="16" t="s">
        <v>170</v>
      </c>
      <c r="D38" t="s">
        <v>164</v>
      </c>
    </row>
    <row r="39" spans="1:4">
      <c r="A39" t="s">
        <v>171</v>
      </c>
      <c r="B39" s="16" t="s">
        <v>162</v>
      </c>
      <c r="C39" s="16" t="s">
        <v>172</v>
      </c>
      <c r="D39" t="s">
        <v>164</v>
      </c>
    </row>
    <row r="40" spans="1:4" ht="28.5">
      <c r="A40" t="s">
        <v>173</v>
      </c>
      <c r="B40" s="16" t="s">
        <v>162</v>
      </c>
      <c r="C40" s="16" t="s">
        <v>174</v>
      </c>
      <c r="D40" t="s">
        <v>164</v>
      </c>
    </row>
    <row r="41" spans="1:4" ht="28.5">
      <c r="A41" t="s">
        <v>175</v>
      </c>
      <c r="B41" s="16" t="s">
        <v>162</v>
      </c>
      <c r="C41" s="16" t="s">
        <v>176</v>
      </c>
      <c r="D41" t="s">
        <v>164</v>
      </c>
    </row>
    <row r="42" spans="1:4" ht="28.5">
      <c r="A42" t="s">
        <v>177</v>
      </c>
      <c r="B42" s="16" t="s">
        <v>162</v>
      </c>
      <c r="C42" s="16" t="s">
        <v>178</v>
      </c>
      <c r="D42" t="s">
        <v>179</v>
      </c>
    </row>
    <row r="43" spans="1:4" ht="28.5">
      <c r="A43" t="s">
        <v>180</v>
      </c>
      <c r="B43" s="16" t="s">
        <v>162</v>
      </c>
      <c r="C43" s="16" t="s">
        <v>181</v>
      </c>
      <c r="D43" t="s">
        <v>164</v>
      </c>
    </row>
    <row r="44" spans="1:4" ht="28.5">
      <c r="A44" t="s">
        <v>182</v>
      </c>
      <c r="B44" s="16" t="s">
        <v>162</v>
      </c>
      <c r="C44" s="16" t="s">
        <v>183</v>
      </c>
      <c r="D44" t="s">
        <v>164</v>
      </c>
    </row>
    <row r="45" spans="1:4" ht="28.5">
      <c r="A45" t="s">
        <v>184</v>
      </c>
      <c r="B45" s="16" t="s">
        <v>185</v>
      </c>
      <c r="C45" s="16" t="s">
        <v>186</v>
      </c>
      <c r="D45" t="s">
        <v>187</v>
      </c>
    </row>
    <row r="46" spans="1:4" ht="28.5">
      <c r="A46" t="s">
        <v>188</v>
      </c>
      <c r="B46" s="16" t="s">
        <v>185</v>
      </c>
      <c r="C46" s="16" t="s">
        <v>189</v>
      </c>
      <c r="D46" t="s">
        <v>187</v>
      </c>
    </row>
    <row r="47" spans="1:4" ht="28.5">
      <c r="A47" t="s">
        <v>190</v>
      </c>
      <c r="B47" s="16" t="s">
        <v>185</v>
      </c>
      <c r="C47" s="16" t="s">
        <v>191</v>
      </c>
      <c r="D47" t="s">
        <v>187</v>
      </c>
    </row>
    <row r="48" spans="1:4" ht="28.5">
      <c r="A48" t="s">
        <v>192</v>
      </c>
      <c r="B48" s="16" t="s">
        <v>185</v>
      </c>
      <c r="C48" s="16" t="s">
        <v>193</v>
      </c>
      <c r="D48" t="s">
        <v>187</v>
      </c>
    </row>
    <row r="49" spans="1:4" ht="42.75">
      <c r="A49" t="s">
        <v>194</v>
      </c>
      <c r="B49" s="16" t="s">
        <v>185</v>
      </c>
      <c r="C49" s="16" t="s">
        <v>195</v>
      </c>
      <c r="D49" t="s">
        <v>187</v>
      </c>
    </row>
    <row r="50" spans="1:4" ht="28.5">
      <c r="A50" t="s">
        <v>196</v>
      </c>
      <c r="B50" s="16" t="s">
        <v>185</v>
      </c>
      <c r="C50" s="16" t="s">
        <v>197</v>
      </c>
      <c r="D50" t="s">
        <v>187</v>
      </c>
    </row>
    <row r="51" spans="1:4" ht="28.5">
      <c r="A51" t="s">
        <v>198</v>
      </c>
      <c r="B51" s="16" t="s">
        <v>185</v>
      </c>
      <c r="C51" s="16" t="s">
        <v>199</v>
      </c>
      <c r="D51" t="s">
        <v>187</v>
      </c>
    </row>
    <row r="52" spans="1:4" ht="42.75">
      <c r="A52" t="s">
        <v>200</v>
      </c>
      <c r="B52" s="16" t="s">
        <v>201</v>
      </c>
      <c r="C52" s="16" t="s">
        <v>202</v>
      </c>
      <c r="D52" t="s">
        <v>203</v>
      </c>
    </row>
    <row r="53" spans="1:4">
      <c r="A53" t="s">
        <v>204</v>
      </c>
      <c r="B53" s="16" t="s">
        <v>201</v>
      </c>
      <c r="C53" s="16" t="s">
        <v>205</v>
      </c>
      <c r="D53" t="s">
        <v>203</v>
      </c>
    </row>
    <row r="54" spans="1:4" ht="28.5">
      <c r="A54" t="s">
        <v>206</v>
      </c>
      <c r="B54" s="16" t="s">
        <v>201</v>
      </c>
      <c r="C54" s="16" t="s">
        <v>207</v>
      </c>
      <c r="D54" t="s">
        <v>203</v>
      </c>
    </row>
    <row r="55" spans="1:4" ht="42.75">
      <c r="A55" t="s">
        <v>208</v>
      </c>
      <c r="B55" s="16" t="s">
        <v>201</v>
      </c>
      <c r="C55" s="16" t="s">
        <v>209</v>
      </c>
      <c r="D55" t="s">
        <v>203</v>
      </c>
    </row>
    <row r="56" spans="1:4" ht="42.75">
      <c r="A56" t="s">
        <v>210</v>
      </c>
      <c r="B56" s="16" t="s">
        <v>201</v>
      </c>
      <c r="C56" s="16" t="s">
        <v>211</v>
      </c>
      <c r="D56" t="s">
        <v>203</v>
      </c>
    </row>
    <row r="57" spans="1:4" ht="42.75">
      <c r="A57" t="s">
        <v>212</v>
      </c>
      <c r="B57" s="16" t="s">
        <v>201</v>
      </c>
      <c r="C57" s="16" t="s">
        <v>213</v>
      </c>
      <c r="D57" t="s">
        <v>203</v>
      </c>
    </row>
    <row r="58" spans="1:4" ht="57">
      <c r="A58" t="s">
        <v>214</v>
      </c>
      <c r="B58" s="16" t="s">
        <v>215</v>
      </c>
      <c r="C58" s="16" t="s">
        <v>216</v>
      </c>
      <c r="D58" t="s">
        <v>203</v>
      </c>
    </row>
    <row r="59" spans="1:4" ht="28.5">
      <c r="A59" t="s">
        <v>217</v>
      </c>
      <c r="B59" s="16" t="s">
        <v>218</v>
      </c>
      <c r="C59" s="16" t="s">
        <v>219</v>
      </c>
      <c r="D59" t="s">
        <v>203</v>
      </c>
    </row>
    <row r="60" spans="1:4">
      <c r="A60" t="s">
        <v>220</v>
      </c>
      <c r="B60" s="16" t="s">
        <v>218</v>
      </c>
      <c r="C60" s="16" t="s">
        <v>221</v>
      </c>
      <c r="D60" t="s">
        <v>203</v>
      </c>
    </row>
    <row r="61" spans="1:4" ht="42.75">
      <c r="A61" t="s">
        <v>222</v>
      </c>
      <c r="B61" s="16" t="s">
        <v>218</v>
      </c>
      <c r="C61" s="16" t="s">
        <v>223</v>
      </c>
      <c r="D61" t="s">
        <v>203</v>
      </c>
    </row>
    <row r="62" spans="1:4" ht="28.5">
      <c r="A62" t="s">
        <v>224</v>
      </c>
      <c r="B62" s="16" t="s">
        <v>218</v>
      </c>
      <c r="C62" s="16" t="s">
        <v>225</v>
      </c>
      <c r="D62" t="s">
        <v>203</v>
      </c>
    </row>
    <row r="63" spans="1:4" ht="42.75">
      <c r="A63" t="s">
        <v>226</v>
      </c>
      <c r="B63" s="16" t="s">
        <v>218</v>
      </c>
      <c r="C63" s="16" t="s">
        <v>227</v>
      </c>
      <c r="D63" t="s">
        <v>203</v>
      </c>
    </row>
    <row r="64" spans="1:4" ht="28.5">
      <c r="A64" t="s">
        <v>228</v>
      </c>
      <c r="B64" s="16" t="s">
        <v>218</v>
      </c>
      <c r="C64" s="16" t="s">
        <v>229</v>
      </c>
      <c r="D64" t="s">
        <v>203</v>
      </c>
    </row>
    <row r="65" spans="1:4" ht="28.5">
      <c r="A65" t="s">
        <v>230</v>
      </c>
      <c r="B65" s="16" t="s">
        <v>218</v>
      </c>
      <c r="C65" s="16" t="s">
        <v>231</v>
      </c>
      <c r="D65" t="s">
        <v>203</v>
      </c>
    </row>
    <row r="66" spans="1:4">
      <c r="A66" t="s">
        <v>232</v>
      </c>
      <c r="B66" s="16" t="s">
        <v>218</v>
      </c>
      <c r="C66" s="16" t="s">
        <v>233</v>
      </c>
      <c r="D66" t="s">
        <v>203</v>
      </c>
    </row>
    <row r="67" spans="1:4">
      <c r="A67" t="s">
        <v>234</v>
      </c>
      <c r="B67" s="16" t="s">
        <v>218</v>
      </c>
      <c r="C67" s="16" t="s">
        <v>235</v>
      </c>
      <c r="D67" t="s">
        <v>203</v>
      </c>
    </row>
    <row r="68" spans="1:4" ht="28.5">
      <c r="A68" t="s">
        <v>236</v>
      </c>
      <c r="B68" s="16" t="s">
        <v>237</v>
      </c>
      <c r="C68" s="16" t="s">
        <v>238</v>
      </c>
      <c r="D68" t="s">
        <v>239</v>
      </c>
    </row>
    <row r="69" spans="1:4" ht="28.5">
      <c r="A69" t="s">
        <v>240</v>
      </c>
      <c r="B69" s="16" t="s">
        <v>237</v>
      </c>
      <c r="C69" s="16" t="s">
        <v>241</v>
      </c>
      <c r="D69" t="s">
        <v>239</v>
      </c>
    </row>
    <row r="70" spans="1:4" ht="28.5">
      <c r="A70" t="s">
        <v>242</v>
      </c>
      <c r="B70" s="16" t="s">
        <v>237</v>
      </c>
      <c r="C70" s="16" t="s">
        <v>243</v>
      </c>
      <c r="D70" t="s">
        <v>239</v>
      </c>
    </row>
    <row r="71" spans="1:4" ht="28.5">
      <c r="A71" t="s">
        <v>244</v>
      </c>
      <c r="B71" s="16" t="s">
        <v>237</v>
      </c>
      <c r="C71" s="16" t="s">
        <v>245</v>
      </c>
      <c r="D71" t="s">
        <v>239</v>
      </c>
    </row>
    <row r="72" spans="1:4" ht="28.5">
      <c r="A72" t="s">
        <v>246</v>
      </c>
      <c r="B72" s="16" t="s">
        <v>237</v>
      </c>
      <c r="C72" s="16" t="s">
        <v>247</v>
      </c>
      <c r="D72" t="s">
        <v>239</v>
      </c>
    </row>
    <row r="73" spans="1:4" ht="28.5">
      <c r="A73" t="s">
        <v>248</v>
      </c>
      <c r="B73" s="16" t="s">
        <v>237</v>
      </c>
      <c r="C73" s="16" t="s">
        <v>249</v>
      </c>
      <c r="D73" t="s">
        <v>239</v>
      </c>
    </row>
    <row r="74" spans="1:4" ht="28.5">
      <c r="A74" t="s">
        <v>250</v>
      </c>
      <c r="B74" s="16" t="s">
        <v>237</v>
      </c>
      <c r="C74" s="16" t="s">
        <v>251</v>
      </c>
      <c r="D74" t="s">
        <v>239</v>
      </c>
    </row>
    <row r="75" spans="1:4" ht="28.5">
      <c r="A75" t="s">
        <v>252</v>
      </c>
      <c r="B75" s="16" t="s">
        <v>237</v>
      </c>
      <c r="C75" s="16" t="s">
        <v>253</v>
      </c>
      <c r="D75" t="s">
        <v>239</v>
      </c>
    </row>
    <row r="76" spans="1:4">
      <c r="A76" t="s">
        <v>254</v>
      </c>
      <c r="B76" s="16" t="s">
        <v>237</v>
      </c>
      <c r="C76" s="16" t="s">
        <v>255</v>
      </c>
      <c r="D76" t="s">
        <v>239</v>
      </c>
    </row>
    <row r="77" spans="1:4" ht="42.75">
      <c r="A77" t="s">
        <v>256</v>
      </c>
      <c r="B77" s="16" t="s">
        <v>237</v>
      </c>
      <c r="C77" s="16" t="s">
        <v>257</v>
      </c>
      <c r="D77" t="s">
        <v>239</v>
      </c>
    </row>
    <row r="78" spans="1:4" ht="28.5">
      <c r="A78" t="s">
        <v>258</v>
      </c>
      <c r="B78" s="16" t="s">
        <v>237</v>
      </c>
      <c r="C78" s="16" t="s">
        <v>259</v>
      </c>
      <c r="D78" t="s">
        <v>239</v>
      </c>
    </row>
    <row r="79" spans="1:4" ht="42.75">
      <c r="A79" t="s">
        <v>260</v>
      </c>
      <c r="B79" s="16" t="s">
        <v>237</v>
      </c>
      <c r="C79" s="16" t="s">
        <v>261</v>
      </c>
      <c r="D79" t="s">
        <v>239</v>
      </c>
    </row>
    <row r="80" spans="1:4" ht="42.75">
      <c r="A80" t="s">
        <v>262</v>
      </c>
      <c r="B80" s="16" t="s">
        <v>237</v>
      </c>
      <c r="C80" s="16" t="s">
        <v>263</v>
      </c>
      <c r="D80" t="s">
        <v>239</v>
      </c>
    </row>
    <row r="81" spans="1:4" ht="28.5">
      <c r="A81" t="s">
        <v>264</v>
      </c>
      <c r="B81" s="16" t="s">
        <v>237</v>
      </c>
      <c r="C81" s="16" t="s">
        <v>265</v>
      </c>
      <c r="D81" t="s">
        <v>239</v>
      </c>
    </row>
    <row r="82" spans="1:4" ht="42.75">
      <c r="A82" t="s">
        <v>266</v>
      </c>
      <c r="B82" s="16" t="s">
        <v>237</v>
      </c>
      <c r="C82" s="16" t="s">
        <v>267</v>
      </c>
      <c r="D82" t="s">
        <v>239</v>
      </c>
    </row>
    <row r="83" spans="1:4" ht="28.5">
      <c r="A83" t="s">
        <v>268</v>
      </c>
      <c r="B83" s="16" t="s">
        <v>237</v>
      </c>
      <c r="C83" s="16" t="s">
        <v>269</v>
      </c>
      <c r="D83" t="s">
        <v>239</v>
      </c>
    </row>
    <row r="84" spans="1:4" ht="42.75">
      <c r="A84" t="s">
        <v>270</v>
      </c>
      <c r="B84" s="16" t="s">
        <v>237</v>
      </c>
      <c r="C84" s="16" t="s">
        <v>271</v>
      </c>
      <c r="D84" t="s">
        <v>239</v>
      </c>
    </row>
    <row r="85" spans="1:4" ht="42.75">
      <c r="A85" t="s">
        <v>272</v>
      </c>
      <c r="B85" s="16" t="s">
        <v>237</v>
      </c>
      <c r="C85" s="16" t="s">
        <v>273</v>
      </c>
      <c r="D85" t="s">
        <v>239</v>
      </c>
    </row>
    <row r="86" spans="1:4">
      <c r="A86" t="s">
        <v>274</v>
      </c>
      <c r="B86" s="16" t="s">
        <v>275</v>
      </c>
      <c r="C86" s="16" t="s">
        <v>276</v>
      </c>
      <c r="D86" t="s">
        <v>277</v>
      </c>
    </row>
    <row r="87" spans="1:4" ht="28.5">
      <c r="A87" t="s">
        <v>278</v>
      </c>
      <c r="B87" s="16" t="s">
        <v>275</v>
      </c>
      <c r="C87" s="16" t="s">
        <v>279</v>
      </c>
      <c r="D87" t="s">
        <v>277</v>
      </c>
    </row>
    <row r="88" spans="1:4" ht="28.5">
      <c r="A88" t="s">
        <v>280</v>
      </c>
      <c r="B88" s="16" t="s">
        <v>275</v>
      </c>
      <c r="C88" s="16" t="s">
        <v>281</v>
      </c>
      <c r="D88" t="s">
        <v>277</v>
      </c>
    </row>
    <row r="89" spans="1:4" ht="28.5">
      <c r="A89" t="s">
        <v>282</v>
      </c>
      <c r="B89" s="16" t="s">
        <v>275</v>
      </c>
      <c r="C89" s="16" t="s">
        <v>283</v>
      </c>
      <c r="D89" t="s">
        <v>277</v>
      </c>
    </row>
    <row r="90" spans="1:4" ht="42.75">
      <c r="A90" t="s">
        <v>284</v>
      </c>
      <c r="B90" s="16" t="s">
        <v>275</v>
      </c>
      <c r="C90" s="16" t="s">
        <v>285</v>
      </c>
      <c r="D90" t="s">
        <v>277</v>
      </c>
    </row>
    <row r="91" spans="1:4" ht="28.5">
      <c r="A91" t="s">
        <v>286</v>
      </c>
      <c r="B91" s="16" t="s">
        <v>275</v>
      </c>
      <c r="C91" s="16" t="s">
        <v>287</v>
      </c>
      <c r="D91" t="s">
        <v>277</v>
      </c>
    </row>
    <row r="92" spans="1:4" ht="42.75">
      <c r="A92" t="s">
        <v>288</v>
      </c>
      <c r="B92" s="16" t="s">
        <v>275</v>
      </c>
      <c r="C92" s="16" t="s">
        <v>289</v>
      </c>
      <c r="D92" t="s">
        <v>277</v>
      </c>
    </row>
    <row r="93" spans="1:4" ht="28.5">
      <c r="A93" t="s">
        <v>290</v>
      </c>
      <c r="B93" s="16" t="s">
        <v>275</v>
      </c>
      <c r="C93" s="16" t="s">
        <v>291</v>
      </c>
      <c r="D93" t="s">
        <v>277</v>
      </c>
    </row>
    <row r="94" spans="1:4" ht="57">
      <c r="A94" t="s">
        <v>292</v>
      </c>
      <c r="B94" s="16" t="s">
        <v>275</v>
      </c>
      <c r="C94" s="16" t="s">
        <v>293</v>
      </c>
      <c r="D94" t="s">
        <v>277</v>
      </c>
    </row>
    <row r="95" spans="1:4" ht="57">
      <c r="A95" t="s">
        <v>294</v>
      </c>
      <c r="B95" s="16" t="s">
        <v>275</v>
      </c>
      <c r="C95" s="16" t="s">
        <v>295</v>
      </c>
      <c r="D95" t="s">
        <v>277</v>
      </c>
    </row>
    <row r="96" spans="1:4" ht="28.5">
      <c r="A96" t="s">
        <v>296</v>
      </c>
      <c r="B96" s="16" t="s">
        <v>275</v>
      </c>
      <c r="C96" s="16" t="s">
        <v>297</v>
      </c>
      <c r="D96" t="s">
        <v>277</v>
      </c>
    </row>
    <row r="97" spans="1:4" ht="28.5">
      <c r="A97" t="s">
        <v>298</v>
      </c>
      <c r="B97" s="16" t="s">
        <v>299</v>
      </c>
      <c r="C97" s="16" t="s">
        <v>300</v>
      </c>
      <c r="D97" t="s">
        <v>301</v>
      </c>
    </row>
    <row r="98" spans="1:4" ht="42.75">
      <c r="A98" t="s">
        <v>302</v>
      </c>
      <c r="B98" s="16" t="s">
        <v>299</v>
      </c>
      <c r="C98" s="16" t="s">
        <v>303</v>
      </c>
      <c r="D98" t="s">
        <v>301</v>
      </c>
    </row>
    <row r="99" spans="1:4" ht="42.75">
      <c r="A99" t="s">
        <v>304</v>
      </c>
      <c r="B99" s="16" t="s">
        <v>299</v>
      </c>
      <c r="C99" s="16" t="s">
        <v>305</v>
      </c>
      <c r="D99" t="s">
        <v>301</v>
      </c>
    </row>
    <row r="100" spans="1:4" ht="42.75">
      <c r="A100" t="s">
        <v>306</v>
      </c>
      <c r="B100" s="16" t="s">
        <v>299</v>
      </c>
      <c r="C100" s="16" t="s">
        <v>307</v>
      </c>
      <c r="D100" t="s">
        <v>301</v>
      </c>
    </row>
    <row r="101" spans="1:4" ht="28.5">
      <c r="A101" t="s">
        <v>308</v>
      </c>
      <c r="B101" s="16" t="s">
        <v>299</v>
      </c>
      <c r="C101" s="16" t="s">
        <v>309</v>
      </c>
      <c r="D101" t="s">
        <v>301</v>
      </c>
    </row>
    <row r="102" spans="1:4" ht="42.75">
      <c r="A102" t="s">
        <v>310</v>
      </c>
      <c r="B102" s="16" t="s">
        <v>299</v>
      </c>
      <c r="C102" s="16" t="s">
        <v>311</v>
      </c>
      <c r="D102" t="s">
        <v>301</v>
      </c>
    </row>
    <row r="103" spans="1:4" ht="28.5">
      <c r="A103" t="s">
        <v>312</v>
      </c>
      <c r="B103" s="16" t="s">
        <v>313</v>
      </c>
      <c r="C103" s="16" t="s">
        <v>314</v>
      </c>
      <c r="D103" t="s">
        <v>315</v>
      </c>
    </row>
    <row r="104" spans="1:4" ht="28.5">
      <c r="A104" t="s">
        <v>316</v>
      </c>
      <c r="B104" s="16" t="s">
        <v>313</v>
      </c>
      <c r="C104" s="16" t="s">
        <v>317</v>
      </c>
      <c r="D104" t="s">
        <v>315</v>
      </c>
    </row>
    <row r="105" spans="1:4" ht="42.75">
      <c r="A105" t="s">
        <v>318</v>
      </c>
      <c r="B105" s="16" t="s">
        <v>313</v>
      </c>
      <c r="C105" s="16" t="s">
        <v>319</v>
      </c>
      <c r="D105" t="s">
        <v>315</v>
      </c>
    </row>
    <row r="106" spans="1:4" ht="42.75">
      <c r="A106" t="s">
        <v>320</v>
      </c>
      <c r="B106" s="16" t="s">
        <v>313</v>
      </c>
      <c r="C106" s="16" t="s">
        <v>321</v>
      </c>
      <c r="D106" t="s">
        <v>315</v>
      </c>
    </row>
    <row r="107" spans="1:4" ht="57">
      <c r="A107" t="s">
        <v>322</v>
      </c>
      <c r="B107" s="16" t="s">
        <v>313</v>
      </c>
      <c r="C107" s="16" t="s">
        <v>323</v>
      </c>
      <c r="D107" t="s">
        <v>315</v>
      </c>
    </row>
    <row r="108" spans="1:4" ht="42.75">
      <c r="A108" t="s">
        <v>324</v>
      </c>
      <c r="B108" s="16" t="s">
        <v>313</v>
      </c>
      <c r="C108" s="16" t="s">
        <v>325</v>
      </c>
      <c r="D108" t="s">
        <v>315</v>
      </c>
    </row>
    <row r="109" spans="1:4">
      <c r="A109" s="16"/>
      <c r="C109"/>
    </row>
    <row r="110" spans="1:4">
      <c r="A110" s="16"/>
      <c r="C110"/>
    </row>
    <row r="111" spans="1:4">
      <c r="A111" s="16"/>
      <c r="C111"/>
    </row>
    <row r="112" spans="1:4">
      <c r="A112" s="16"/>
      <c r="C112"/>
    </row>
    <row r="113" spans="1:3">
      <c r="A113" s="16"/>
      <c r="C113"/>
    </row>
    <row r="114" spans="1:3">
      <c r="A114" s="16"/>
      <c r="C114"/>
    </row>
    <row r="115" spans="1:3">
      <c r="A115" s="16"/>
      <c r="C115"/>
    </row>
    <row r="116" spans="1:3">
      <c r="A116" s="16"/>
      <c r="C116"/>
    </row>
    <row r="117" spans="1:3">
      <c r="A117" s="16"/>
      <c r="C117"/>
    </row>
    <row r="118" spans="1:3">
      <c r="A118" s="16"/>
      <c r="C118"/>
    </row>
    <row r="119" spans="1:3">
      <c r="A119" s="16"/>
      <c r="C119"/>
    </row>
    <row r="120" spans="1:3">
      <c r="A120" s="16"/>
      <c r="C120"/>
    </row>
    <row r="121" spans="1:3">
      <c r="A121" s="16"/>
      <c r="C121"/>
    </row>
    <row r="122" spans="1:3">
      <c r="A122" s="16"/>
      <c r="C122"/>
    </row>
    <row r="123" spans="1:3">
      <c r="A123" s="16"/>
      <c r="C123"/>
    </row>
    <row r="124" spans="1:3">
      <c r="A124" s="16"/>
      <c r="C124"/>
    </row>
    <row r="125" spans="1:3">
      <c r="A125" s="16"/>
      <c r="C125"/>
    </row>
    <row r="126" spans="1:3">
      <c r="A126" s="16"/>
      <c r="C126"/>
    </row>
    <row r="127" spans="1:3">
      <c r="A127" s="16"/>
      <c r="C127"/>
    </row>
    <row r="128" spans="1:3">
      <c r="A128" s="16"/>
      <c r="C128"/>
    </row>
  </sheetData>
  <mergeCells count="2">
    <mergeCell ref="A2:D2"/>
    <mergeCell ref="A1:D1"/>
  </mergeCells>
  <phoneticPr fontId="10"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AC5C0-04B2-4645-B4A2-ACB7F9D33979}">
  <dimension ref="A1:C108"/>
  <sheetViews>
    <sheetView zoomScale="115" workbookViewId="0">
      <selection activeCell="E106" sqref="E106"/>
    </sheetView>
  </sheetViews>
  <sheetFormatPr defaultRowHeight="14.25"/>
  <cols>
    <col min="1" max="1" width="12.1328125" customWidth="1"/>
    <col min="2" max="2" width="73.3984375" style="16" customWidth="1"/>
    <col min="3" max="3" width="22" bestFit="1" customWidth="1"/>
  </cols>
  <sheetData>
    <row r="1" spans="1:3">
      <c r="A1" s="32" t="s">
        <v>326</v>
      </c>
      <c r="B1" s="32"/>
      <c r="C1" s="32"/>
    </row>
    <row r="2" spans="1:3" ht="48.75" customHeight="1">
      <c r="A2" s="38" t="s">
        <v>327</v>
      </c>
      <c r="B2" s="38"/>
      <c r="C2" s="38"/>
    </row>
    <row r="3" spans="1:3">
      <c r="A3" t="s">
        <v>73</v>
      </c>
      <c r="B3" s="16" t="s">
        <v>328</v>
      </c>
      <c r="C3" t="s">
        <v>329</v>
      </c>
    </row>
    <row r="4" spans="1:3">
      <c r="A4" t="s">
        <v>77</v>
      </c>
      <c r="B4" s="16" t="str">
        <f>Table3[[#This Row],[Extracted Sentence (verbatim)]]</f>
        <v xml:space="preserve"> The Garo community is one of the largest minority tribes in Bangladesh.</v>
      </c>
      <c r="C4" t="str">
        <f>Table5[[#This Row],[Subject (Node A)]]</f>
        <v>GaroCommunity</v>
      </c>
    </row>
    <row r="5" spans="1:3" ht="28.5">
      <c r="A5" t="s">
        <v>81</v>
      </c>
      <c r="B5" s="16" t="str">
        <f>Table3[[#This Row],[Extracted Sentence (verbatim)]]</f>
        <v xml:space="preserve">They reside in several districts including Mymensingh, Netrakona, Jamalpur, Sherpur, Tangail, and Sunamganj. </v>
      </c>
      <c r="C5" t="str">
        <f>Table5[[#This Row],[Subject (Node A)]]</f>
        <v>GaroCommunity</v>
      </c>
    </row>
    <row r="6" spans="1:3" ht="28.5">
      <c r="A6" t="s">
        <v>84</v>
      </c>
      <c r="B6" s="16" t="str">
        <f>Table3[[#This Row],[Extracted Sentence (verbatim)]]</f>
        <v>They migrated to Bangladesh from Tibet and Burma and refer to themselves as Mandi or Achchik depending on whether they live in the mountains or plains.</v>
      </c>
      <c r="C6" t="str">
        <f>Table5[[#This Row],[Subject (Node A)]]</f>
        <v>GaroCommunity</v>
      </c>
    </row>
    <row r="7" spans="1:3">
      <c r="A7" t="s">
        <v>87</v>
      </c>
      <c r="B7" s="16" t="str">
        <f>Table3[[#This Row],[Extracted Sentence (verbatim)]]</f>
        <v xml:space="preserve">Garo community in Bangladesh are primarily an agricultural community. </v>
      </c>
      <c r="C7" t="str">
        <f>Table5[[#This Row],[Subject (Node A)]]</f>
        <v>GaroCommunity</v>
      </c>
    </row>
    <row r="8" spans="1:3" ht="28.5">
      <c r="A8" t="s">
        <v>90</v>
      </c>
      <c r="B8" s="16" t="str">
        <f>Table3[[#This Row],[Extracted Sentence (verbatim)]]</f>
        <v>The majority of Garo people are bilingual as they need to communicate in both Bengali and their native Garo language</v>
      </c>
      <c r="C8" t="str">
        <f>Table5[[#This Row],[Subject (Node A)]]</f>
        <v>GaroPeople</v>
      </c>
    </row>
    <row r="9" spans="1:3" ht="28.5">
      <c r="A9" t="s">
        <v>93</v>
      </c>
      <c r="B9" s="16" t="str">
        <f>Table3[[#This Row],[Extracted Sentence (verbatim)]]</f>
        <v>The Garos follow a matriarchal system where girls have property ownership and children use their mother's last name.</v>
      </c>
      <c r="C9" t="str">
        <f>Table5[[#This Row],[Subject (Node A)]]</f>
        <v>GaroSociety</v>
      </c>
    </row>
    <row r="10" spans="1:3" ht="28.5">
      <c r="A10" t="s">
        <v>97</v>
      </c>
      <c r="B10" s="16" t="str">
        <f>Table3[[#This Row],[Extracted Sentence (verbatim)]]</f>
        <v>In their system of inheritance, it is the women who receive all the property from their parents, while men are not entitled to any inheritance</v>
      </c>
      <c r="C10" t="str">
        <f>Table5[[#This Row],[Subject (Node A)]]</f>
        <v>GaroWomen</v>
      </c>
    </row>
    <row r="11" spans="1:3" ht="28.5">
      <c r="A11" t="s">
        <v>100</v>
      </c>
      <c r="B11" s="16" t="str">
        <f>Table3[[#This Row],[Extracted Sentence (verbatim)]]</f>
        <v>Despite being a non-literate society, the Garo people have a rich culture and belief system that includes supernatural beliefs, transmigration, and the immortality of  the  spirit</v>
      </c>
      <c r="C11" t="str">
        <f>Table5[[#This Row],[Subject (Node A)]]</f>
        <v>GaroCulture</v>
      </c>
    </row>
    <row r="12" spans="1:3" ht="28.5">
      <c r="A12" t="s">
        <v>103</v>
      </c>
      <c r="B12" s="16" t="str">
        <f>Table3[[#This Row],[Extracted Sentence (verbatim)]]</f>
        <v>The Garos have a festive culture and practice various rituals and customs, including producing their own alcoholic beverage called 'chu.'</v>
      </c>
      <c r="C12" t="str">
        <f>Table5[[#This Row],[Subject (Node A)]]</f>
        <v>GaroCommunity</v>
      </c>
    </row>
    <row r="13" spans="1:3" ht="28.5">
      <c r="A13" t="s">
        <v>106</v>
      </c>
      <c r="B13" s="16" t="str">
        <f>Table3[[#This Row],[Extracted Sentence (verbatim)]]</f>
        <v xml:space="preserve">Their main livelihood\ is agriculture, but they also engage in handicrafts and other activities. </v>
      </c>
      <c r="C13" t="str">
        <f>Table5[[#This Row],[Subject (Node A)]]</f>
        <v>GaroCommunity</v>
      </c>
    </row>
    <row r="14" spans="1:3">
      <c r="A14" t="s">
        <v>108</v>
      </c>
      <c r="B14" s="16" t="str">
        <f>Table3[[#This Row],[Extracted Sentence (verbatim)]]</f>
        <v>The Garo ethnic group are the largest minority group in Bangladesh</v>
      </c>
      <c r="C14" t="str">
        <f>Table5[[#This Row],[Subject (Node A)]]</f>
        <v>GaroCommunity</v>
      </c>
    </row>
    <row r="15" spans="1:3" ht="42.75">
      <c r="A15" t="s">
        <v>112</v>
      </c>
      <c r="B15" s="16" t="str">
        <f>Table3[[#This Row],[Extracted Sentence (verbatim)]]</f>
        <v>.they believe that they originated from Tibet and then migrated to Meghalaya in India and various regions of Bangladesh including Madhupur,  Haluaghat, Dhubaura, Susang Durgapur, Srivardi, Nalitabari, Jhenaigati, Dharmapasha, Taherpur, and Bishwambarpur.</v>
      </c>
      <c r="C15" t="str">
        <f>Table5[[#This Row],[Subject (Node A)]]</f>
        <v>GaroCommunity</v>
      </c>
    </row>
    <row r="16" spans="1:3" ht="28.5">
      <c r="A16" t="s">
        <v>114</v>
      </c>
      <c r="B16" s="16" t="str">
        <f>Table3[[#This Row],[Extracted Sentence (verbatim)]]</f>
        <v>The Garo community were isolated from the outside world before the British colonial rule in the late 18th and early 19th centuries.</v>
      </c>
      <c r="C16" t="str">
        <f>Table5[[#This Row],[Subject (Node A)]]</f>
        <v>GaroCommunity</v>
      </c>
    </row>
    <row r="17" spans="1:3" ht="42.75">
      <c r="A17" t="s">
        <v>116</v>
      </c>
      <c r="B17" s="16" t="str">
        <f>Table3[[#This Row],[Extracted Sentence (verbatim)]]</f>
        <v xml:space="preserve">the Garo or Granching' sub tribe first received their appellation of Garo and that appellation was elaborated to all the residents of the mountain and it turned debauched from Garo to Garo </v>
      </c>
      <c r="C17" t="str">
        <f>Table5[[#This Row],[Subject (Node A)]]</f>
        <v>GaroSubtribe</v>
      </c>
    </row>
    <row r="18" spans="1:3" ht="28.5">
      <c r="A18" t="s">
        <v>120</v>
      </c>
      <c r="B18" s="16" t="str">
        <f>Table3[[#This Row],[Extracted Sentence (verbatim)]]</f>
        <v xml:space="preserve"> they all share a common origin and have always considered themselves  portion of the same community</v>
      </c>
      <c r="C18" t="str">
        <f>Table5[[#This Row],[Subject (Node A)]]</f>
        <v>GaroSubgroups</v>
      </c>
    </row>
    <row r="19" spans="1:3" ht="28.5">
      <c r="A19" t="s">
        <v>122</v>
      </c>
      <c r="B19" s="16" t="str">
        <f>Table3[[#This Row],[Extracted Sentence (verbatim)]]</f>
        <v>There is a strong influence of Bengali language in Mandi, reflected in the use of Bengali words and sentence pattern.</v>
      </c>
      <c r="C19" t="str">
        <f>Table5[[#This Row],[Subject (Node A)]]</f>
        <v>BangaliLanguage</v>
      </c>
    </row>
    <row r="20" spans="1:3" ht="28.5">
      <c r="A20" t="s">
        <v>124</v>
      </c>
      <c r="B20" s="16" t="str">
        <f>Table3[[#This Row],[Extracted Sentence (verbatim)]]</f>
        <v xml:space="preserve"> nearly all of the of the respondents do not know their specific origins, some  respondents said that they came from India and others suggesting a Tibetan origin. </v>
      </c>
      <c r="C20" t="str">
        <f>Table5[[#This Row],[Subject (Node A)]]</f>
        <v>GaroPeople</v>
      </c>
    </row>
    <row r="21" spans="1:3" ht="28.5">
      <c r="A21" t="s">
        <v>126</v>
      </c>
      <c r="B21" s="16" t="str">
        <f>Table3[[#This Row],[Extracted Sentence (verbatim)]]</f>
        <v xml:space="preserve"> When I asked about their age, many were unsure and couldn't recall their exact age, and some had to rely on others for assistance.</v>
      </c>
      <c r="C21" t="str">
        <f>Table5[[#This Row],[Subject (Node A)]]</f>
        <v>GaroEducation</v>
      </c>
    </row>
    <row r="22" spans="1:3">
      <c r="A22" t="s">
        <v>130</v>
      </c>
      <c r="B22" s="16" t="str">
        <f>Table3[[#This Row],[Extracted Sentence (verbatim)]]</f>
        <v xml:space="preserve"> most respondents were unable to read or write</v>
      </c>
      <c r="C22" t="str">
        <f>Table5[[#This Row],[Subject (Node A)]]</f>
        <v>GaroEducation</v>
      </c>
    </row>
    <row r="23" spans="1:3" ht="28.5">
      <c r="A23" t="s">
        <v>133</v>
      </c>
      <c r="B23" s="16" t="str">
        <f>Table3[[#This Row],[Extracted Sentence (verbatim)]]</f>
        <v>occupations of their family members, and discovered that most were involved in agriculture, while others were students or employed in various services</v>
      </c>
      <c r="C23" t="str">
        <f>Table5[[#This Row],[Subject (Node A)]]</f>
        <v>GaroOccupation</v>
      </c>
    </row>
    <row r="24" spans="1:3" ht="28.5">
      <c r="A24" t="s">
        <v>136</v>
      </c>
      <c r="B24" s="16" t="str">
        <f>Table3[[#This Row],[Extracted Sentence (verbatim)]]</f>
        <v>respondents had poor demographic backgrounds. Many were illiterate and belonged to vulnerable populations</v>
      </c>
      <c r="C24" t="str">
        <f>Table5[[#This Row],[Subject (Node A)]]</f>
        <v>GaroPeople</v>
      </c>
    </row>
    <row r="25" spans="1:3" ht="42.75">
      <c r="A25" t="s">
        <v>138</v>
      </c>
      <c r="B25" s="16" t="str">
        <f>Table3[[#This Row],[Extracted Sentence (verbatim)]]</f>
        <v>These individuals were unable to provide accurate information about their family and personal details, and they lacked the ability to sustain their livelihoods or enjoy modern amenities.</v>
      </c>
      <c r="C25" t="str">
        <f>Table5[[#This Row],[Subject (Node A)]]</f>
        <v>GaroLivelihood</v>
      </c>
    </row>
    <row r="26" spans="1:3" ht="28.5">
      <c r="A26" t="s">
        <v>141</v>
      </c>
      <c r="B26" s="16" t="str">
        <f>Table3[[#This Row],[Extracted Sentence (verbatim)]]</f>
        <v>their lack of education, they are not aware of the importance of family planning and do not prioritize the well-being of their family members.</v>
      </c>
      <c r="C26" t="str">
        <f>Table5[[#This Row],[Subject (Node A)]]</f>
        <v>GaroEducation</v>
      </c>
    </row>
    <row r="27" spans="1:3">
      <c r="A27" t="s">
        <v>143</v>
      </c>
      <c r="B27" s="16" t="str">
        <f>Table3[[#This Row],[Extracted Sentence (verbatim)]]</f>
        <v>Garo men wear lungis, genjis, trousers, and shirts.</v>
      </c>
      <c r="C27" t="str">
        <f>Table5[[#This Row],[Subject (Node A)]]</f>
        <v>GaroMen</v>
      </c>
    </row>
    <row r="28" spans="1:3" ht="28.5">
      <c r="A28" t="s">
        <v>147</v>
      </c>
      <c r="B28" s="16" t="str">
        <f>Table3[[#This Row],[Extracted Sentence (verbatim)]]</f>
        <v>Many of them prefer to wear lungis and also wrap a colorful thin towel, similar to a gamcha or dhuti, around their lower body</v>
      </c>
      <c r="C28" t="str">
        <f>Table5[[#This Row],[Subject (Node A)]]</f>
        <v>GaroMen</v>
      </c>
    </row>
    <row r="29" spans="1:3" ht="28.5">
      <c r="A29" t="s">
        <v>149</v>
      </c>
      <c r="B29" s="16" t="str">
        <f>Table3[[#This Row],[Extracted Sentence (verbatim)]]</f>
        <v xml:space="preserve"> Garo women usually wear orna, sarees, blouses, kamij, petticoats, salwars, but they also wear at home their traditional costumes.</v>
      </c>
      <c r="C29" t="str">
        <f>Table5[[#This Row],[Subject (Node A)]]</f>
        <v>GaroWomen</v>
      </c>
    </row>
    <row r="30" spans="1:3" ht="28.5">
      <c r="A30" t="s">
        <v>151</v>
      </c>
      <c r="B30" s="16" t="str">
        <f>Table3[[#This Row],[Extracted Sentence (verbatim)]]</f>
        <v>During the British colonial rule, Garo men started wearing half-pants and shirts, and later, they began wearing dhutis and shirts.</v>
      </c>
      <c r="C30" t="str">
        <f>Table5[[#This Row],[Subject (Node A)]]</f>
        <v>GaroMen</v>
      </c>
    </row>
    <row r="31" spans="1:3" ht="28.5">
      <c r="A31" t="s">
        <v>153</v>
      </c>
      <c r="B31" s="16" t="str">
        <f>Table3[[#This Row],[Extracted Sentence (verbatim)]]</f>
        <v xml:space="preserve"> In the past, Garo women used to formerly worn silver jewelry, however, only wealthy women now wear gold ornaments.</v>
      </c>
      <c r="C31" t="str">
        <f>Table5[[#This Row],[Subject (Node A)]]</f>
        <v>GaroWomen</v>
      </c>
    </row>
    <row r="32" spans="1:3" ht="28.5">
      <c r="A32" t="s">
        <v>155</v>
      </c>
      <c r="B32" s="16" t="str">
        <f>Table3[[#This Row],[Extracted Sentence (verbatim)]]</f>
        <v>According to some respondents, the traditional Garo attire consists of dakmanda, daksari, and gandu, but nowadays, they also wear lungis, shirts, and pants like most people.</v>
      </c>
      <c r="C32" t="str">
        <f>Table5[[#This Row],[Subject (Node A)]]</f>
        <v>GaroAttire</v>
      </c>
    </row>
    <row r="33" spans="1:3" ht="28.5">
      <c r="A33" t="s">
        <v>157</v>
      </c>
      <c r="B33" s="16" t="str">
        <f>Table3[[#This Row],[Extracted Sentence (verbatim)]]</f>
        <v>Garo men wear gamchas or dhutis, and women wear sarees, skirts, and trousers adorned with religious and natural motifs such as leaves, flowers, and the eyes of gods.</v>
      </c>
      <c r="C33">
        <f>Table5[[#This Row],[Subject (Node A)]]</f>
        <v>0</v>
      </c>
    </row>
    <row r="34" spans="1:3">
      <c r="A34" t="s">
        <v>159</v>
      </c>
      <c r="B34" s="16" t="str">
        <f>Table3[[#This Row],[Extracted Sentence (verbatim)]]</f>
        <v xml:space="preserve">Their clothing styles have names such as gando, katib, salchak, marang, unpon, and riking. </v>
      </c>
      <c r="C34" t="str">
        <f>Table5[[#This Row],[Subject (Node A)]]</f>
        <v>GaroAttire</v>
      </c>
    </row>
    <row r="35" spans="1:3" ht="28.5">
      <c r="A35" t="s">
        <v>161</v>
      </c>
      <c r="B35" s="16" t="str">
        <f>Table3[[#This Row],[Extracted Sentence (verbatim)]]</f>
        <v>The primary food of Garo people is rice, and they especially enjoy dried fish, particularly the puti species seen in  bhati area.</v>
      </c>
      <c r="C35" t="str">
        <f>Table5[[#This Row],[Subject (Node A)]]</f>
        <v>GaroPeople</v>
      </c>
    </row>
    <row r="36" spans="1:3" ht="28.5">
      <c r="A36" t="s">
        <v>165</v>
      </c>
      <c r="B36" s="16" t="str">
        <f>Table3[[#This Row],[Extracted Sentence (verbatim)]]</f>
        <v>They use a lot of green chili in their curries and enjoy a variety of vegetables such as brinjal, bottle gourd, pumpkin, chichinga, corolla, jheenga, and kidney beans.</v>
      </c>
      <c r="C36" t="str">
        <f>Table5[[#This Row],[Subject (Node A)]]</f>
        <v>GaroPeople</v>
      </c>
    </row>
    <row r="37" spans="1:3" ht="28.5">
      <c r="A37" t="s">
        <v>167</v>
      </c>
      <c r="B37" s="16" t="str">
        <f>Table3[[#This Row],[Extracted Sentence (verbatim)]]</f>
        <v>Garos have adopted many food habits from their Bengali neighbors and often consume rich foods like hotchpotch, pulao, and biriyani.</v>
      </c>
      <c r="C37" t="str">
        <f>Table5[[#This Row],[Subject (Node A)]]</f>
        <v>GaroPeople</v>
      </c>
    </row>
    <row r="38" spans="1:3" ht="57">
      <c r="A38" t="s">
        <v>169</v>
      </c>
      <c r="B38" s="16" t="str">
        <f>Table3[[#This Row],[Extracted Sentence (verbatim)]]</f>
        <v>However, they still have a fondness for Spirituous liquor, bamboo shoots, pork, mushrooms ,turtle, which they personally distill , is a necessary component for hosting guests,festivals. According to some respondents, the Garo diet includes rice, pork, beef, mutton, and vegetables.</v>
      </c>
      <c r="C38" t="str">
        <f>Table5[[#This Row],[Subject (Node A)]]</f>
        <v>GaroPeople</v>
      </c>
    </row>
    <row r="39" spans="1:3">
      <c r="A39" t="s">
        <v>171</v>
      </c>
      <c r="B39" s="16" t="str">
        <f>Table3[[#This Row],[Extracted Sentence (verbatim)]]</f>
        <v>They generally prefer to eat healthy foods</v>
      </c>
      <c r="C39" t="str">
        <f>Table5[[#This Row],[Subject (Node A)]]</f>
        <v>GaroPeople</v>
      </c>
    </row>
    <row r="40" spans="1:3">
      <c r="A40" t="s">
        <v>173</v>
      </c>
      <c r="B40" s="16" t="str">
        <f>Table3[[#This Row],[Extracted Sentence (verbatim)]]</f>
        <v>However, they previously consumed alcohol at home when they were younger.</v>
      </c>
      <c r="C40" t="str">
        <f>Table5[[#This Row],[Subject (Node A)]]</f>
        <v>GaroCommunity</v>
      </c>
    </row>
    <row r="41" spans="1:3" ht="28.5">
      <c r="A41" t="s">
        <v>175</v>
      </c>
      <c r="B41" s="16" t="str">
        <f>Table3[[#This Row],[Extracted Sentence (verbatim)]]</f>
        <v>The Garo food culture has evolved with modern times, and people have started to eat more like the local population.</v>
      </c>
      <c r="C41" t="str">
        <f>Table5[[#This Row],[Subject (Node A)]]</f>
        <v>GaroFood</v>
      </c>
    </row>
    <row r="42" spans="1:3" ht="28.5">
      <c r="A42" t="s">
        <v>177</v>
      </c>
      <c r="B42" s="16" t="str">
        <f>Table3[[#This Row],[Extracted Sentence (verbatim)]]</f>
        <v>The traditional wine drink used to be an essential element of their daily food, but because of their  christian values  they no longer using alcohol.</v>
      </c>
      <c r="C42" t="str">
        <f>Table5[[#This Row],[Subject (Node A)]]</f>
        <v>GaroCommunity</v>
      </c>
    </row>
    <row r="43" spans="1:3" ht="28.5">
      <c r="A43" t="s">
        <v>180</v>
      </c>
      <c r="B43" s="16" t="str">
        <f>Table3[[#This Row],[Extracted Sentence (verbatim)]]</f>
        <v xml:space="preserve"> their favorite dishes include dried fish, pork, rabbit, donkey, beef, and chicken, which they produce themselves. </v>
      </c>
      <c r="C43" t="str">
        <f>Table5[[#This Row],[Subject (Node A)]]</f>
        <v>GaroCommunity</v>
      </c>
    </row>
    <row r="44" spans="1:3">
      <c r="A44" t="s">
        <v>182</v>
      </c>
      <c r="B44" s="16" t="str">
        <f>Table3[[#This Row],[Extracted Sentence (verbatim)]]</f>
        <v xml:space="preserve">They enjoy a drink called 'Chu' and consider it an important part of any program or event. </v>
      </c>
      <c r="C44" t="str">
        <f>Table5[[#This Row],[Subject (Node A)]]</f>
        <v>Chu</v>
      </c>
    </row>
    <row r="45" spans="1:3" ht="28.5">
      <c r="A45" t="s">
        <v>184</v>
      </c>
      <c r="B45" s="16" t="str">
        <f>Table3[[#This Row],[Extracted Sentence (verbatim)]]</f>
        <v>traditional Garo houses in the hills are simple and contain minimal furniture, often just a bamboo floor or a raised platform.</v>
      </c>
      <c r="C45" t="str">
        <f>Table5[[#This Row],[Subject (Node A)]]</f>
        <v>GaroHouses</v>
      </c>
    </row>
    <row r="46" spans="1:3">
      <c r="A46" t="s">
        <v>188</v>
      </c>
      <c r="B46" s="16" t="str">
        <f>Table3[[#This Row],[Extracted Sentence (verbatim)]]</f>
        <v>households possess wooden chairs, tables, stools, wardrobes, and steel almirahs.</v>
      </c>
      <c r="C46" t="str">
        <f>Table5[[#This Row],[Subject (Node A)]]</f>
        <v>GaroHousehold</v>
      </c>
    </row>
    <row r="47" spans="1:3" ht="28.5">
      <c r="A47" t="s">
        <v>190</v>
      </c>
      <c r="B47" s="16" t="str">
        <f>Table3[[#This Row],[Extracted Sentence (verbatim)]]</f>
        <v>Household utensils and implements have also evolved, using earthenware replaced by metal as a sign of social distinction.</v>
      </c>
      <c r="C47" t="str">
        <f>Table5[[#This Row],[Subject (Node A)]]</f>
        <v>GaroHousehold</v>
      </c>
    </row>
    <row r="48" spans="1:3" ht="28.5">
      <c r="A48" t="s">
        <v>192</v>
      </c>
      <c r="B48" s="16" t="str">
        <f>Table3[[#This Row],[Extracted Sentence (verbatim)]]</f>
        <v>plain and hill Garos use different types of baskets for various purposes, with varying shapes and construction materials</v>
      </c>
      <c r="C48" t="str">
        <f>Table5[[#This Row],[Subject (Node A)]]</f>
        <v>GaroCommuninity</v>
      </c>
    </row>
    <row r="49" spans="1:3" ht="42.75">
      <c r="A49" t="s">
        <v>194</v>
      </c>
      <c r="B49" s="16" t="str">
        <f>Table3[[#This Row],[Extracted Sentence (verbatim)]]</f>
        <v xml:space="preserve"> Some respondents said living in small, inadequate houses made of mud or thatch, but with time, their socio-economic conditions have changed and they now build their homes with tin, wood, and other materials</v>
      </c>
      <c r="C49" t="str">
        <f>Table5[[#This Row],[Subject (Node A)]]</f>
        <v>GaroCommunity</v>
      </c>
    </row>
    <row r="50" spans="1:3" ht="28.5">
      <c r="A50" t="s">
        <v>196</v>
      </c>
      <c r="B50" s="16" t="str">
        <f>Table3[[#This Row],[Extracted Sentence (verbatim)]]</f>
        <v>some respondents noted improvements in medical facilities, others stated that access to healthcare was still inadequate</v>
      </c>
      <c r="C50" t="str">
        <f>Table5[[#This Row],[Subject (Node A)]]</f>
        <v>GaroPeople</v>
      </c>
    </row>
    <row r="51" spans="1:3" ht="28.5">
      <c r="A51" t="s">
        <v>198</v>
      </c>
      <c r="B51" s="16" t="str">
        <f>Table3[[#This Row],[Extracted Sentence (verbatim)]]</f>
        <v xml:space="preserve"> they now use modern materials like tin due to improvements in their socio-economic conditions</v>
      </c>
      <c r="C51" t="str">
        <f>Table5[[#This Row],[Subject (Node A)]]</f>
        <v>GaroCommunity</v>
      </c>
    </row>
    <row r="52" spans="1:3" ht="42.75">
      <c r="A52" t="s">
        <v>200</v>
      </c>
      <c r="B52" s="16" t="str">
        <f>Table3[[#This Row],[Extracted Sentence (verbatim)]]</f>
        <v>Garo celebrate seven main festivals from the beginning to the end of Jhum cultivation. These are Aaofata, Denabilsia, Agalmaka, Miamua, Rongchugalla, Jamegappa and Wangala.</v>
      </c>
      <c r="C52" t="str">
        <f>Table5[[#This Row],[Subject (Node A)]]</f>
        <v>GaroCommunity</v>
      </c>
    </row>
    <row r="53" spans="1:3">
      <c r="A53" t="s">
        <v>204</v>
      </c>
      <c r="B53" s="16" t="str">
        <f>Table3[[#This Row],[Extracted Sentence (verbatim)]]</f>
        <v>now-a-days they are not dependent on Jhum cultivation</v>
      </c>
      <c r="C53" t="str">
        <f>Table5[[#This Row],[Subject (Node A)]]</f>
        <v>GaroCommunity</v>
      </c>
    </row>
    <row r="54" spans="1:3">
      <c r="A54" t="s">
        <v>206</v>
      </c>
      <c r="B54" s="16" t="str">
        <f>Table3[[#This Row],[Extracted Sentence (verbatim)]]</f>
        <v>.Currently, Garo community celebrates two major festivals: Wangala and Christmas Day.</v>
      </c>
      <c r="C54" t="str">
        <f>Table5[[#This Row],[Subject (Node A)]]</f>
        <v>GaroCommunity</v>
      </c>
    </row>
    <row r="55" spans="1:3" ht="28.5">
      <c r="A55" t="s">
        <v>208</v>
      </c>
      <c r="B55" s="16" t="str">
        <f>Table3[[#This Row],[Extracted Sentence (verbatim)]]</f>
        <v>Wangala is considered the most significant festival and is celebrated after the rice harvesting season is over, typically between October and December</v>
      </c>
      <c r="C55" t="str">
        <f>Table5[[#This Row],[Subject (Node A)]]</f>
        <v>WangalaFestival</v>
      </c>
    </row>
    <row r="56" spans="1:3" ht="28.5">
      <c r="A56" t="s">
        <v>210</v>
      </c>
      <c r="B56" s="16" t="str">
        <f>Table3[[#This Row],[Extracted Sentence (verbatim)]]</f>
        <v>It is ritual of "thanksgiving" in order to honor Misi-Saljong, additionally acquainted Pattigipa  Ra Rongipa or "The Great donor" for blessing them with a good rice harvest</v>
      </c>
      <c r="C56" t="str">
        <f>Table5[[#This Row],[Subject (Node A)]]</f>
        <v>WangalaFestival</v>
      </c>
    </row>
    <row r="57" spans="1:3" ht="42.75">
      <c r="A57" t="s">
        <v>212</v>
      </c>
      <c r="B57" s="16" t="str">
        <f>Table3[[#This Row],[Extracted Sentence (verbatim)]]</f>
        <v>A day before festival of Wangala, a ritual called "Rugala" using the Nokma is performed, where the authentic rice beer along with offerings include vegetables ,boiled rice to Misi-Saljong.</v>
      </c>
      <c r="C57" t="str">
        <f>Table5[[#This Row],[Subject (Node A)]]</f>
        <v>RugalaRitual</v>
      </c>
    </row>
    <row r="58" spans="1:3" ht="42.75">
      <c r="A58" t="s">
        <v>214</v>
      </c>
      <c r="B58" s="16" t="str">
        <f>Table3[[#This Row],[Extracted Sentence (verbatim)]]</f>
        <v>The following day, the "chatso" ceremony performs by the Nokma, burning incense to signal the beginning at his home’s main pillar for the week-long Wangala festival, which has been a traditional practice for the Garo people for centuries</v>
      </c>
      <c r="C58" t="str">
        <f>Table5[[#This Row],[Subject (Node A)]]</f>
        <v>ChatsoCeremony</v>
      </c>
    </row>
    <row r="59" spans="1:3" ht="28.5">
      <c r="A59" t="s">
        <v>217</v>
      </c>
      <c r="B59" s="16" t="str">
        <f>Table3[[#This Row],[Extracted Sentence (verbatim)]]</f>
        <v xml:space="preserve">When Christmas Day arrives regarding the Garo community , they attend church before beginning the festivities. </v>
      </c>
      <c r="C59" t="str">
        <f>Table5[[#This Row],[Subject (Node A)]]</f>
        <v>GaroCommunity</v>
      </c>
    </row>
    <row r="60" spans="1:3">
      <c r="A60" t="s">
        <v>220</v>
      </c>
      <c r="B60" s="16" t="str">
        <f>Table3[[#This Row],[Extracted Sentence (verbatim)]]</f>
        <v>This day is a national holiday and is celebrated formally worldwide.</v>
      </c>
      <c r="C60" t="str">
        <f>Table5[[#This Row],[Subject (Node A)]]</f>
        <v>ChristmasDay</v>
      </c>
    </row>
    <row r="61" spans="1:3" ht="28.5">
      <c r="A61" t="s">
        <v>222</v>
      </c>
      <c r="B61" s="16" t="str">
        <f>Table3[[#This Row],[Extracted Sentence (verbatim)]]</f>
        <v>Garo Christian friends and family exchange greetings of "Happy Christmas Day," which signifies celebrating the wonderful day, and offer traditional sweets and cakes.</v>
      </c>
      <c r="C61" t="str">
        <f>Table5[[#This Row],[Subject (Node A)]]</f>
        <v>GaroCommunity</v>
      </c>
    </row>
    <row r="62" spans="1:3" ht="28.5">
      <c r="A62" t="s">
        <v>224</v>
      </c>
      <c r="B62" s="16" t="str">
        <f>Table3[[#This Row],[Extracted Sentence (verbatim)]]</f>
        <v xml:space="preserve"> According to many respondents, they prefer to celebrate "Wangala" because it is a traditional festival that still exists within  the  Garo</v>
      </c>
      <c r="C62" t="str">
        <f>Table5[[#This Row],[Subject (Node A)]]</f>
        <v>GaroCommunity</v>
      </c>
    </row>
    <row r="63" spans="1:3" ht="28.5">
      <c r="A63" t="s">
        <v>226</v>
      </c>
      <c r="B63" s="16" t="str">
        <f>Table3[[#This Row],[Extracted Sentence (verbatim)]]</f>
        <v>However, some people from different castes have started celebrating it by themselves, which should not be happening since the festival is for the entire Garo community.</v>
      </c>
      <c r="C63">
        <f>Table5[[#This Row],[Subject (Node A)]]</f>
        <v>0</v>
      </c>
    </row>
    <row r="64" spans="1:3" ht="28.5">
      <c r="A64" t="s">
        <v>228</v>
      </c>
      <c r="B64" s="16" t="str">
        <f>Table3[[#This Row],[Extracted Sentence (verbatim)]]</f>
        <v>The leaders organize this festival locally and centrally, and it is celebrated every year by october’s end</v>
      </c>
      <c r="C64" t="str">
        <f>Table5[[#This Row],[Subject (Node A)]]</f>
        <v>Wangala</v>
      </c>
    </row>
    <row r="65" spans="1:3" ht="28.5">
      <c r="A65" t="s">
        <v>230</v>
      </c>
      <c r="B65" s="16" t="str">
        <f>Table3[[#This Row],[Extracted Sentence (verbatim)]]</f>
        <v>The Garo community has undergone several cultural changes due to their conversion to Christianity.</v>
      </c>
      <c r="C65" t="str">
        <f>Table5[[#This Row],[Subject (Node A)]]</f>
        <v>GaroCommunity</v>
      </c>
    </row>
    <row r="66" spans="1:3">
      <c r="A66" t="s">
        <v>232</v>
      </c>
      <c r="B66" s="16" t="str">
        <f>Table3[[#This Row],[Extracted Sentence (verbatim)]]</f>
        <v>They now celebrate Christmas Day and follow Christian practices.</v>
      </c>
      <c r="C66" t="str">
        <f>Table5[[#This Row],[Subject (Node A)]]</f>
        <v>GaroCommunity</v>
      </c>
    </row>
    <row r="67" spans="1:3">
      <c r="A67" t="s">
        <v>234</v>
      </c>
      <c r="B67" s="16" t="str">
        <f>Table3[[#This Row],[Extracted Sentence (verbatim)]]</f>
        <v xml:space="preserve"> Garo community’s  traditional marital system is also disappearing.</v>
      </c>
      <c r="C67" t="str">
        <f>Table5[[#This Row],[Subject (Node A)]]</f>
        <v>GaroCommunity</v>
      </c>
    </row>
    <row r="68" spans="1:3" ht="28.5">
      <c r="A68" t="s">
        <v>236</v>
      </c>
      <c r="B68" s="16" t="str">
        <f>Table3[[#This Row],[Extracted Sentence (verbatim)]]</f>
        <v>The traditional religion of Garo people is called 'Sangsarek', in which they consider certain things and forces of nature to be powerful Gods.</v>
      </c>
      <c r="C68" t="str">
        <f>Table5[[#This Row],[Subject (Node A)]]</f>
        <v>Sangsarek</v>
      </c>
    </row>
    <row r="69" spans="1:3" ht="28.5">
      <c r="A69" t="s">
        <v>240</v>
      </c>
      <c r="B69" s="16" t="str">
        <f>Table3[[#This Row],[Extracted Sentence (verbatim)]]</f>
        <v>They worship these Gods through various rituals in order to seek their blessings and protection from harm.</v>
      </c>
      <c r="C69" t="str">
        <f>Table5[[#This Row],[Subject (Node A)]]</f>
        <v>Sangsarek</v>
      </c>
    </row>
    <row r="70" spans="1:3">
      <c r="A70" t="s">
        <v>242</v>
      </c>
      <c r="B70" s="16" t="str">
        <f>Table3[[#This Row],[Extracted Sentence (verbatim)]]</f>
        <v xml:space="preserve">The Garo people have faith in the power of the sun, stars, moon, thunder, and rain. </v>
      </c>
      <c r="C70" t="str">
        <f>Table5[[#This Row],[Subject (Node A)]]</f>
        <v>GaroPeople</v>
      </c>
    </row>
    <row r="71" spans="1:3" ht="28.5">
      <c r="A71" t="s">
        <v>244</v>
      </c>
      <c r="B71" s="16" t="str">
        <f>Table3[[#This Row],[Extracted Sentence (verbatim)]]</f>
        <v>They also have faith in a supreme God who created the universe and controls the other smaller Gods.</v>
      </c>
      <c r="C71" t="str">
        <f>Table5[[#This Row],[Subject (Node A)]]</f>
        <v>GaroPeople</v>
      </c>
    </row>
    <row r="72" spans="1:3">
      <c r="A72" t="s">
        <v>246</v>
      </c>
      <c r="B72" s="16" t="str">
        <f>Table3[[#This Row],[Extracted Sentence (verbatim)]]</f>
        <v>The Garo people also have faith in the transmigration of souls after death.</v>
      </c>
      <c r="C72" t="str">
        <f>Table5[[#This Row],[Subject (Node A)]]</f>
        <v>GaroPeople</v>
      </c>
    </row>
    <row r="73" spans="1:3" ht="28.5">
      <c r="A73" t="s">
        <v>248</v>
      </c>
      <c r="B73" s="16" t="str">
        <f>Table3[[#This Row],[Extracted Sentence (verbatim)]]</f>
        <v>The departed soul travels to a place called Mong Sangram and then to Chikmang, where it meets other departed souls of relatives.</v>
      </c>
      <c r="C73" t="str">
        <f>Table5[[#This Row],[Subject (Node A)]]</f>
        <v>DepartedSouls</v>
      </c>
    </row>
    <row r="74" spans="1:3" ht="28.5">
      <c r="A74" t="s">
        <v>250</v>
      </c>
      <c r="B74" s="16" t="str">
        <f>Table3[[#This Row],[Extracted Sentence (verbatim)]]</f>
        <v>It then rests at Missal Charms, where a judgment is made on the person's previous life deeds.</v>
      </c>
      <c r="C74" t="str">
        <f>Table5[[#This Row],[Subject (Node A)]]</f>
        <v>DepartedSouls</v>
      </c>
    </row>
    <row r="75" spans="1:3">
      <c r="A75" t="s">
        <v>252</v>
      </c>
      <c r="B75" s="16" t="str">
        <f>Table3[[#This Row],[Extracted Sentence (verbatim)]]</f>
        <v>If the spirit is virtuous, it will be transmigrated to the earth as an animal or a tree.</v>
      </c>
      <c r="C75" t="str">
        <f>Table5[[#This Row],[Subject (Node A)]]</f>
        <v>GaroPeoplesSpirit</v>
      </c>
    </row>
    <row r="76" spans="1:3">
      <c r="A76" t="s">
        <v>254</v>
      </c>
      <c r="B76" s="16" t="str">
        <f>Table3[[#This Row],[Extracted Sentence (verbatim)]]</f>
        <v xml:space="preserve"> However, if someone dies with debt, their soul will be reborn as a dog.</v>
      </c>
      <c r="C76" t="str">
        <f>Table5[[#This Row],[Subject (Node A)]]</f>
        <v>GaroPeople</v>
      </c>
    </row>
    <row r="77" spans="1:3" ht="28.5">
      <c r="A77" t="s">
        <v>256</v>
      </c>
      <c r="B77" s="16" t="str">
        <f>Table3[[#This Row],[Extracted Sentence (verbatim)]]</f>
        <v>If someone commits suicide or is killed by a wild animal, their soul is believed to transform into a ghost, witch, or evil spirit responsible for various diseases, fear, and misfortune.</v>
      </c>
      <c r="C77" t="str">
        <f>Table5[[#This Row],[Subject (Node A)]]</f>
        <v>GaroPeople</v>
      </c>
    </row>
    <row r="78" spans="1:3">
      <c r="A78" t="s">
        <v>258</v>
      </c>
      <c r="B78" s="16" t="str">
        <f>Table3[[#This Row],[Extracted Sentence (verbatim)]]</f>
        <v>.They worship several Gods, including Tatara, Saljong, Susime, and Calcame</v>
      </c>
      <c r="C78" t="str">
        <f>Table5[[#This Row],[Subject (Node A)]]</f>
        <v>GaroCommunity</v>
      </c>
    </row>
    <row r="79" spans="1:3" ht="42.75">
      <c r="A79" t="s">
        <v>260</v>
      </c>
      <c r="B79" s="16" t="str">
        <f>Table3[[#This Row],[Extracted Sentence (verbatim)]]</f>
        <v>.They believes that only the Khamal (priest) can identify the presence and functions of the Gods, so they often seek the Khamal's help for the treatment of illnesses and for carrying out devotions.</v>
      </c>
      <c r="C79" t="str">
        <f>Table5[[#This Row],[Subject (Node A)]]</f>
        <v>GaroCommunity</v>
      </c>
    </row>
    <row r="80" spans="1:3" ht="42.75">
      <c r="A80" t="s">
        <v>262</v>
      </c>
      <c r="B80" s="16" t="str">
        <f>Table3[[#This Row],[Extracted Sentence (verbatim)]]</f>
        <v>Garo people used to follow their traditional religion, which involved beliefs in spirits dwelling in trees, stones, and hills, and a complex system of mourning ceremonies to protect the soul of the deceased</v>
      </c>
      <c r="C80" t="str">
        <f>Table5[[#This Row],[Subject (Node A)]]</f>
        <v>GaroPeople</v>
      </c>
    </row>
    <row r="81" spans="1:3" ht="28.5">
      <c r="A81" t="s">
        <v>264</v>
      </c>
      <c r="B81" s="16" t="str">
        <f>Table3[[#This Row],[Extracted Sentence (verbatim)]]</f>
        <v xml:space="preserve"> Over time, many Garos converted to Christianity, influenced by the persuasive abilities of the missionaries and the allure of valuable gifts</v>
      </c>
      <c r="C81" t="str">
        <f>Table5[[#This Row],[Subject (Node A)]]</f>
        <v>GaroCommunity</v>
      </c>
    </row>
    <row r="82" spans="1:3" ht="28.5">
      <c r="A82" t="s">
        <v>266</v>
      </c>
      <c r="B82" s="16" t="str">
        <f>Table3[[#This Row],[Extracted Sentence (verbatim)]]</f>
        <v>Some respondents attribute their conversion to Christianity to the persuasive abilities of Christian missionaries and foreigners influence who have gifted valuable items to their king</v>
      </c>
      <c r="C82">
        <f>Table5[[#This Row],[Subject (Node A)]]</f>
        <v>0</v>
      </c>
    </row>
    <row r="83" spans="1:3" ht="28.5">
      <c r="A83" t="s">
        <v>268</v>
      </c>
      <c r="B83" s="16" t="str">
        <f>Table3[[#This Row],[Extracted Sentence (verbatim)]]</f>
        <v>Others have converted to Christianity due to a personal conviction in the teachings of the Bible and belief in God.</v>
      </c>
      <c r="C83">
        <f>Table5[[#This Row],[Subject (Node A)]]</f>
        <v>0</v>
      </c>
    </row>
    <row r="84" spans="1:3" ht="28.5">
      <c r="A84" t="s">
        <v>270</v>
      </c>
      <c r="B84" s="16" t="str">
        <f>Table3[[#This Row],[Extracted Sentence (verbatim)]]</f>
        <v>The majority of Garos living in the study area of Madhupur have embraced Christianity, but there is still a significant portion that adheres to their traditional religion, Sangsarek.</v>
      </c>
      <c r="C84" t="str">
        <f>Table5[[#This Row],[Subject (Node A)]]</f>
        <v>GaroCommunity</v>
      </c>
    </row>
    <row r="85" spans="1:3" ht="42.75">
      <c r="A85" t="s">
        <v>272</v>
      </c>
      <c r="B85" s="16" t="str">
        <f>Table3[[#This Row],[Extracted Sentence (verbatim)]]</f>
        <v>Some Garos have also converted to Islam or other religions.However, it is observed that after converting to Christianity, many Garos are disregarding their traditional customs and adopting new practices.</v>
      </c>
      <c r="C85" t="str">
        <f>Table5[[#This Row],[Subject (Node A)]]</f>
        <v>GaroCommunity</v>
      </c>
    </row>
    <row r="86" spans="1:3">
      <c r="A86" t="s">
        <v>274</v>
      </c>
      <c r="B86" s="16" t="str">
        <f>Table3[[#This Row],[Extracted Sentence (verbatim)]]</f>
        <v>,Garo community’s health status is in good shape</v>
      </c>
      <c r="C86" t="str">
        <f>Table5[[#This Row],[Subject (Node A)]]</f>
        <v>GaroCommunity</v>
      </c>
    </row>
    <row r="87" spans="1:3" ht="28.5">
      <c r="A87" t="s">
        <v>278</v>
      </c>
      <c r="B87" s="16" t="str">
        <f>Table3[[#This Row],[Extracted Sentence (verbatim)]]</f>
        <v>The majority of Garo people attribute illnesses to displeasing God and Goddess or curse of inactive spirits</v>
      </c>
      <c r="C87" t="str">
        <f>Table5[[#This Row],[Subject (Node A)]]</f>
        <v>GaroPeople</v>
      </c>
    </row>
    <row r="88" spans="1:3">
      <c r="A88" t="s">
        <v>280</v>
      </c>
      <c r="B88" s="16" t="str">
        <f>Table3[[#This Row],[Extracted Sentence (verbatim)]]</f>
        <v>Therefore, they offer sacrifices to appease the spirits and seek relief from their illnesses.</v>
      </c>
      <c r="C88" t="str">
        <f>Table5[[#This Row],[Subject (Node A)]]</f>
        <v>GaroPeople</v>
      </c>
    </row>
    <row r="89" spans="1:3" ht="28.5">
      <c r="A89" t="s">
        <v>282</v>
      </c>
      <c r="B89" s="16" t="str">
        <f>Table3[[#This Row],[Extracted Sentence (verbatim)]]</f>
        <v xml:space="preserve"> Garos consume diverse food items including natural vegetables and have preference for drinking wine made from boiled rice</v>
      </c>
      <c r="C89" t="str">
        <f>Table5[[#This Row],[Subject (Node A)]]</f>
        <v>GaroCommunity</v>
      </c>
    </row>
    <row r="90" spans="1:3" ht="28.5">
      <c r="A90" t="s">
        <v>284</v>
      </c>
      <c r="B90" s="16" t="str">
        <f>Table3[[#This Row],[Extracted Sentence (verbatim)]]</f>
        <v>The Garo people unable to access to sufficient social amenities, particularly healthcare facilities that are functional and meet their needs.</v>
      </c>
      <c r="C90" t="str">
        <f>Table5[[#This Row],[Subject (Node A)]]</f>
        <v>GaroPeople</v>
      </c>
    </row>
    <row r="91" spans="1:3">
      <c r="A91" t="s">
        <v>286</v>
      </c>
      <c r="B91" s="16" t="str">
        <f>Table3[[#This Row],[Extracted Sentence (verbatim)]]</f>
        <v xml:space="preserve"> They have to travel lengthy distance to access medical care in government hospitals.</v>
      </c>
      <c r="C91" t="str">
        <f>Table5[[#This Row],[Subject (Node A)]]</f>
        <v>GaroPeople</v>
      </c>
    </row>
    <row r="92" spans="1:3" ht="28.5">
      <c r="A92" t="s">
        <v>288</v>
      </c>
      <c r="B92" s="16" t="str">
        <f>Table3[[#This Row],[Extracted Sentence (verbatim)]]</f>
        <v>Moreover, several of the mission clinics located in the community do not possess adequate medical facilities, which is a major concern for the rural areas of Bangladesh.</v>
      </c>
      <c r="C92" t="str">
        <f>Table5[[#This Row],[Subject (Node A)]]</f>
        <v>GaroCommunity</v>
      </c>
    </row>
    <row r="93" spans="1:3" ht="28.5">
      <c r="A93" t="s">
        <v>290</v>
      </c>
      <c r="B93" s="16" t="str">
        <f>Table3[[#This Row],[Extracted Sentence (verbatim)]]</f>
        <v>According to one respondent, when they fall ill, they usually seek treatment at government hospitals.</v>
      </c>
      <c r="C93">
        <f>Table5[[#This Row],[Subject (Node A)]]</f>
        <v>0</v>
      </c>
    </row>
    <row r="94" spans="1:3" ht="42.75">
      <c r="A94" t="s">
        <v>292</v>
      </c>
      <c r="B94" s="16" t="str">
        <f>Table3[[#This Row],[Extracted Sentence (verbatim)]]</f>
        <v xml:space="preserve"> they have lack of  knowledge about health hygiene and treatment procedures, relying solely on traditional practices, but now they have received training and awareness from Christian missionaries and government organizations.</v>
      </c>
      <c r="C94" t="str">
        <f>Table5[[#This Row],[Subject (Node A)]]</f>
        <v>GaroCommunity</v>
      </c>
    </row>
    <row r="95" spans="1:3" ht="42.75">
      <c r="A95" t="s">
        <v>294</v>
      </c>
      <c r="B95" s="16" t="str">
        <f>Table3[[#This Row],[Extracted Sentence (verbatim)]]</f>
        <v>Another respondent mentioned that while a hospital is present in the community, the services provided are insufficient, and in case of emergencies, they go to Madhupur or Mymensingh or Tangail   for better treatment.</v>
      </c>
      <c r="C95">
        <f>Table5[[#This Row],[Subject (Node A)]]</f>
        <v>0</v>
      </c>
    </row>
    <row r="96" spans="1:3" ht="28.5">
      <c r="A96" t="s">
        <v>296</v>
      </c>
      <c r="B96" s="16" t="str">
        <f>Table3[[#This Row],[Extracted Sentence (verbatim)]]</f>
        <v>The Garo community experiences various health issues because of their ignorance about proper hygiene, sanitation, and disease prevention</v>
      </c>
      <c r="C96" t="str">
        <f>Table5[[#This Row],[Subject (Node A)]]</f>
        <v>GaroCommunity</v>
      </c>
    </row>
    <row r="97" spans="1:3" ht="28.5">
      <c r="A97" t="s">
        <v>298</v>
      </c>
      <c r="B97" s="16" t="str">
        <f>Table3[[#This Row],[Extracted Sentence (verbatim)]]</f>
        <v>The Garos have been relying on nature and almost over 4000 years, jhum cultivation has been practiced.</v>
      </c>
      <c r="C97" t="str">
        <f>Table5[[#This Row],[Subject (Node A)]]</f>
        <v>JhumCultivation</v>
      </c>
    </row>
    <row r="98" spans="1:3" ht="28.5">
      <c r="A98" t="s">
        <v>302</v>
      </c>
      <c r="B98" s="16" t="str">
        <f>Table3[[#This Row],[Extracted Sentence (verbatim)]]</f>
        <v>However, in recent times, some members of their community have started engaging in professions other than farming, such as fishing, to earn a better living.</v>
      </c>
      <c r="C98" t="str">
        <f>Table5[[#This Row],[Subject (Node A)]]</f>
        <v>GaroCommunity</v>
      </c>
    </row>
    <row r="99" spans="1:3" ht="42.75">
      <c r="A99" t="s">
        <v>304</v>
      </c>
      <c r="B99" s="16" t="str">
        <f>Table3[[#This Row],[Extracted Sentence (verbatim)]]</f>
        <v>While farming remains the primary source of income for some families, others have diversified their sources of livelihood and are now engaged in teaching, employment, and business</v>
      </c>
      <c r="C99" t="str">
        <f>Table5[[#This Row],[Subject (Node A)]]</f>
        <v>GaroPeople</v>
      </c>
    </row>
    <row r="100" spans="1:3" ht="42.75">
      <c r="A100" t="s">
        <v>306</v>
      </c>
      <c r="B100" s="16" t="str">
        <f>Table3[[#This Row],[Extracted Sentence (verbatim)]]</f>
        <v>Many people in the community have migrated to cities in quest of better-paying jobs, such as day labor and garment work, as they find it difficult to sustain their families on income from agriculture alone.</v>
      </c>
      <c r="C100" t="str">
        <f>Table5[[#This Row],[Subject (Node A)]]</f>
        <v>GaroPeople</v>
      </c>
    </row>
    <row r="101" spans="1:3" ht="28.5">
      <c r="A101" t="s">
        <v>308</v>
      </c>
      <c r="B101" s="16" t="str">
        <f>Table3[[#This Row],[Extracted Sentence (verbatim)]]</f>
        <v>The primary occupation of Garo people is farming, which supports about more than 85% of the community.</v>
      </c>
      <c r="C101" t="str">
        <f>Table5[[#This Row],[Subject (Node A)]]</f>
        <v>GaroPeople</v>
      </c>
    </row>
    <row r="102" spans="1:3" ht="42.75">
      <c r="A102" t="s">
        <v>310</v>
      </c>
      <c r="B102" s="16" t="str">
        <f>Table3[[#This Row],[Extracted Sentence (verbatim)]]</f>
        <v xml:space="preserve"> A respondent said, there has been increasing the  rural-urban migration in the Garo community, with people leaving to study, receive medical treatment, find jobs, and seek economic opportunities in the city.</v>
      </c>
      <c r="C102" t="str">
        <f>Table5[[#This Row],[Subject (Node A)]]</f>
        <v>GaroCommunity</v>
      </c>
    </row>
    <row r="103" spans="1:3" ht="28.5">
      <c r="A103" t="s">
        <v>312</v>
      </c>
      <c r="B103" s="16" t="str">
        <f>Table3[[#This Row],[Extracted Sentence (verbatim)]]</f>
        <v>Garo community traditionally follows a matrilineal system, which grants women significant authority, including ownership of land</v>
      </c>
      <c r="C103" t="str">
        <f>Table5[[#This Row],[Subject (Node A)]]</f>
        <v>GaroCommunity</v>
      </c>
    </row>
    <row r="104" spans="1:3" ht="28.5">
      <c r="A104" t="s">
        <v>316</v>
      </c>
      <c r="B104" s="16" t="str">
        <f>Table3[[#This Row],[Extracted Sentence (verbatim)]]</f>
        <v>the matrilineal system is declining, and land ownership is becoming more equally shared between women and men.</v>
      </c>
      <c r="C104" t="str">
        <f>Table5[[#This Row],[Subject (Node A)]]</f>
        <v>MatrilinealSystem</v>
      </c>
    </row>
    <row r="105" spans="1:3" ht="28.5">
      <c r="A105" t="s">
        <v>318</v>
      </c>
      <c r="B105" s="16" t="str">
        <f>Table3[[#This Row],[Extracted Sentence (verbatim)]]</f>
        <v xml:space="preserve">one respondent noted that the traditional ownership of  land by women has shifted, and both genders now have right to own land in their community. </v>
      </c>
      <c r="C105">
        <f>Table5[[#This Row],[Subject (Node A)]]</f>
        <v>0</v>
      </c>
    </row>
    <row r="106" spans="1:3" ht="28.5">
      <c r="A106" t="s">
        <v>320</v>
      </c>
      <c r="B106" s="16" t="str">
        <f>Table3[[#This Row],[Extracted Sentence (verbatim)]]</f>
        <v>Another respondent shared that their wife owns four acres of land and that all family resources are under her ownership, even the family's house is in her name.</v>
      </c>
      <c r="C106">
        <f>Table5[[#This Row],[Subject (Node A)]]</f>
        <v>0</v>
      </c>
    </row>
    <row r="107" spans="1:3" ht="42.75">
      <c r="A107" t="s">
        <v>322</v>
      </c>
      <c r="B107" s="16" t="str">
        <f>Table3[[#This Row],[Extracted Sentence (verbatim)]]</f>
        <v>Through my research, including interviews and observations, it has been determined that most Garo families once they owned land, but currently, only a small percentage (around 15-16%) have some form of land ownership.</v>
      </c>
      <c r="C107">
        <f>Table5[[#This Row],[Subject (Node A)]]</f>
        <v>0</v>
      </c>
    </row>
    <row r="108" spans="1:3" ht="42.75">
      <c r="A108" t="s">
        <v>324</v>
      </c>
      <c r="B108" s="16" t="str">
        <f>Table3[[#This Row],[Extracted Sentence (verbatim)]]</f>
        <v>Despite advancements in technology, the Garo people still rely on subsistence economies, and approximately 85% are currently landless, even though they still indirectly involved in agriculture.</v>
      </c>
      <c r="C108">
        <f>Table5[[#This Row],[Subject (Node A)]]</f>
        <v>0</v>
      </c>
    </row>
  </sheetData>
  <mergeCells count="2">
    <mergeCell ref="A1:C1"/>
    <mergeCell ref="A2:C2"/>
  </mergeCells>
  <phoneticPr fontId="10"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219DB-0E5A-44C2-9AC1-419A33A4F86D}">
  <dimension ref="A1:G108"/>
  <sheetViews>
    <sheetView topLeftCell="B1" zoomScale="114" workbookViewId="0">
      <selection activeCell="F4" sqref="F4"/>
    </sheetView>
  </sheetViews>
  <sheetFormatPr defaultRowHeight="14.25"/>
  <cols>
    <col min="1" max="1" width="13" customWidth="1"/>
    <col min="2" max="2" width="56.1328125" style="16" customWidth="1"/>
    <col min="3" max="3" width="40.73046875" style="16" bestFit="1" customWidth="1"/>
    <col min="4" max="4" width="19.59765625" customWidth="1"/>
    <col min="5" max="5" width="25" customWidth="1"/>
    <col min="6" max="6" width="22.86328125" customWidth="1"/>
  </cols>
  <sheetData>
    <row r="1" spans="1:6">
      <c r="A1" s="32" t="s">
        <v>330</v>
      </c>
      <c r="B1" s="32"/>
      <c r="C1" s="32"/>
      <c r="D1" s="32"/>
      <c r="E1" s="32"/>
      <c r="F1" s="32"/>
    </row>
    <row r="2" spans="1:6" ht="27" customHeight="1">
      <c r="A2" s="38" t="s">
        <v>331</v>
      </c>
      <c r="B2" s="38"/>
      <c r="C2" s="38"/>
      <c r="D2" s="38"/>
      <c r="E2" s="38"/>
      <c r="F2" s="38"/>
    </row>
    <row r="3" spans="1:6">
      <c r="A3" t="s">
        <v>73</v>
      </c>
      <c r="B3" s="16" t="s">
        <v>332</v>
      </c>
      <c r="C3" s="16" t="s">
        <v>333</v>
      </c>
      <c r="D3" t="s">
        <v>334</v>
      </c>
      <c r="E3" t="s">
        <v>335</v>
      </c>
      <c r="F3" t="s">
        <v>336</v>
      </c>
    </row>
    <row r="4" spans="1:6" ht="28.5">
      <c r="A4" t="s">
        <v>77</v>
      </c>
      <c r="B4" s="16" t="str">
        <f>Table3[[#This Row],[Extracted Sentence (verbatim)]]</f>
        <v xml:space="preserve"> The Garo community is one of the largest minority tribes in Bangladesh.</v>
      </c>
      <c r="C4" s="16" t="s">
        <v>337</v>
      </c>
      <c r="D4" s="16" t="s">
        <v>338</v>
      </c>
      <c r="E4" s="16" t="s">
        <v>339</v>
      </c>
      <c r="F4" s="16" t="s">
        <v>340</v>
      </c>
    </row>
    <row r="5" spans="1:6" ht="42.75">
      <c r="A5" t="s">
        <v>81</v>
      </c>
      <c r="B5" s="16" t="str">
        <f>Table3[[#This Row],[Extracted Sentence (verbatim)]]</f>
        <v xml:space="preserve">They reside in several districts including Mymensingh, Netrakona, Jamalpur, Sherpur, Tangail, and Sunamganj. </v>
      </c>
      <c r="C5" s="16" t="s">
        <v>341</v>
      </c>
      <c r="D5" s="16" t="s">
        <v>338</v>
      </c>
      <c r="E5" s="16" t="s">
        <v>342</v>
      </c>
      <c r="F5" s="16" t="s">
        <v>343</v>
      </c>
    </row>
    <row r="6" spans="1:6" ht="42.75">
      <c r="A6" t="s">
        <v>84</v>
      </c>
      <c r="B6" s="16" t="str">
        <f>Table3[[#This Row],[Extracted Sentence (verbatim)]]</f>
        <v>They migrated to Bangladesh from Tibet and Burma and refer to themselves as Mandi or Achchik depending on whether they live in the mountains or plains.</v>
      </c>
      <c r="C6" s="16" t="s">
        <v>344</v>
      </c>
      <c r="D6" s="16" t="s">
        <v>338</v>
      </c>
      <c r="E6" s="16" t="s">
        <v>345</v>
      </c>
      <c r="F6" s="16" t="s">
        <v>346</v>
      </c>
    </row>
    <row r="7" spans="1:6" ht="28.5">
      <c r="A7" t="s">
        <v>87</v>
      </c>
      <c r="B7" s="16" t="str">
        <f>Table3[[#This Row],[Extracted Sentence (verbatim)]]</f>
        <v xml:space="preserve">Garo community in Bangladesh are primarily an agricultural community. </v>
      </c>
      <c r="C7" s="16" t="s">
        <v>347</v>
      </c>
      <c r="D7" s="16" t="s">
        <v>338</v>
      </c>
      <c r="E7" s="16" t="s">
        <v>348</v>
      </c>
      <c r="F7" s="16" t="s">
        <v>349</v>
      </c>
    </row>
    <row r="8" spans="1:6" ht="28.5">
      <c r="A8" t="s">
        <v>90</v>
      </c>
      <c r="B8" s="16" t="str">
        <f>Table3[[#This Row],[Extracted Sentence (verbatim)]]</f>
        <v>The majority of Garo people are bilingual as they need to communicate in both Bengali and their native Garo language</v>
      </c>
      <c r="C8" s="16" t="s">
        <v>350</v>
      </c>
      <c r="D8" s="16" t="s">
        <v>351</v>
      </c>
      <c r="E8" s="16" t="s">
        <v>352</v>
      </c>
      <c r="F8" s="16" t="s">
        <v>353</v>
      </c>
    </row>
    <row r="9" spans="1:6" ht="28.5">
      <c r="A9" t="s">
        <v>93</v>
      </c>
      <c r="B9" s="16" t="str">
        <f>Table3[[#This Row],[Extracted Sentence (verbatim)]]</f>
        <v>The Garos follow a matriarchal system where girls have property ownership and children use their mother's last name.</v>
      </c>
      <c r="C9" s="16" t="s">
        <v>354</v>
      </c>
      <c r="D9" s="16" t="s">
        <v>355</v>
      </c>
      <c r="E9" s="16" t="s">
        <v>356</v>
      </c>
      <c r="F9" s="16" t="s">
        <v>357</v>
      </c>
    </row>
    <row r="10" spans="1:6" ht="42.75">
      <c r="A10" t="s">
        <v>97</v>
      </c>
      <c r="B10" s="16" t="str">
        <f>Table3[[#This Row],[Extracted Sentence (verbatim)]]</f>
        <v>In their system of inheritance, it is the women who receive all the property from their parents, while men are not entitled to any inheritance</v>
      </c>
      <c r="C10" s="16" t="s">
        <v>358</v>
      </c>
      <c r="D10" s="16" t="s">
        <v>359</v>
      </c>
      <c r="E10" s="16" t="s">
        <v>360</v>
      </c>
      <c r="F10" s="16" t="s">
        <v>361</v>
      </c>
    </row>
    <row r="11" spans="1:6" ht="42.75">
      <c r="A11" t="s">
        <v>100</v>
      </c>
      <c r="B11" s="16" t="str">
        <f>Table3[[#This Row],[Extracted Sentence (verbatim)]]</f>
        <v>Despite being a non-literate society, the Garo people have a rich culture and belief system that includes supernatural beliefs, transmigration, and the immortality of  the  spirit</v>
      </c>
      <c r="C11" s="16" t="s">
        <v>362</v>
      </c>
      <c r="D11" s="16" t="s">
        <v>363</v>
      </c>
      <c r="E11" s="16" t="s">
        <v>364</v>
      </c>
      <c r="F11" s="16" t="s">
        <v>365</v>
      </c>
    </row>
    <row r="12" spans="1:6" ht="42.75">
      <c r="A12" t="s">
        <v>103</v>
      </c>
      <c r="B12" s="16" t="str">
        <f>Table3[[#This Row],[Extracted Sentence (verbatim)]]</f>
        <v>The Garos have a festive culture and practice various rituals and customs, including producing their own alcoholic beverage called 'chu.'</v>
      </c>
      <c r="C12" s="16" t="s">
        <v>366</v>
      </c>
      <c r="D12" s="16" t="s">
        <v>338</v>
      </c>
      <c r="E12" s="16" t="s">
        <v>367</v>
      </c>
      <c r="F12" s="16" t="s">
        <v>368</v>
      </c>
    </row>
    <row r="13" spans="1:6" ht="28.5">
      <c r="A13" t="s">
        <v>106</v>
      </c>
      <c r="B13" s="16" t="str">
        <f>Table3[[#This Row],[Extracted Sentence (verbatim)]]</f>
        <v xml:space="preserve">Their main livelihood\ is agriculture, but they also engage in handicrafts and other activities. </v>
      </c>
      <c r="C13" s="16" t="s">
        <v>369</v>
      </c>
      <c r="D13" s="16" t="s">
        <v>338</v>
      </c>
      <c r="E13" s="16" t="s">
        <v>370</v>
      </c>
      <c r="F13" s="16" t="s">
        <v>371</v>
      </c>
    </row>
    <row r="14" spans="1:6" ht="28.5">
      <c r="A14" t="s">
        <v>108</v>
      </c>
      <c r="B14" s="16" t="str">
        <f>Table3[[#This Row],[Extracted Sentence (verbatim)]]</f>
        <v>The Garo ethnic group are the largest minority group in Bangladesh</v>
      </c>
      <c r="C14" s="16" t="s">
        <v>372</v>
      </c>
      <c r="D14" s="16" t="s">
        <v>338</v>
      </c>
      <c r="E14" s="16" t="s">
        <v>373</v>
      </c>
      <c r="F14" s="16" t="s">
        <v>374</v>
      </c>
    </row>
    <row r="15" spans="1:6" ht="57">
      <c r="A15" t="s">
        <v>112</v>
      </c>
      <c r="B15" s="16" t="str">
        <f>Table3[[#This Row],[Extracted Sentence (verbatim)]]</f>
        <v>.they believe that they originated from Tibet and then migrated to Meghalaya in India and various regions of Bangladesh including Madhupur,  Haluaghat, Dhubaura, Susang Durgapur, Srivardi, Nalitabari, Jhenaigati, Dharmapasha, Taherpur, and Bishwambarpur.</v>
      </c>
      <c r="C15" s="16" t="s">
        <v>375</v>
      </c>
      <c r="D15" s="16" t="s">
        <v>338</v>
      </c>
      <c r="E15" s="16" t="s">
        <v>376</v>
      </c>
      <c r="F15" s="16" t="s">
        <v>377</v>
      </c>
    </row>
    <row r="16" spans="1:6" ht="28.5">
      <c r="A16" t="s">
        <v>114</v>
      </c>
      <c r="B16" s="16" t="str">
        <f>Table3[[#This Row],[Extracted Sentence (verbatim)]]</f>
        <v>The Garo community were isolated from the outside world before the British colonial rule in the late 18th and early 19th centuries.</v>
      </c>
      <c r="C16" s="16" t="s">
        <v>378</v>
      </c>
      <c r="D16" s="16" t="s">
        <v>338</v>
      </c>
      <c r="E16" s="16" t="s">
        <v>379</v>
      </c>
      <c r="F16" s="16" t="s">
        <v>380</v>
      </c>
    </row>
    <row r="17" spans="1:6" ht="42.75">
      <c r="A17" t="s">
        <v>116</v>
      </c>
      <c r="B17" s="16" t="str">
        <f>Table3[[#This Row],[Extracted Sentence (verbatim)]]</f>
        <v xml:space="preserve">the Garo or Granching' sub tribe first received their appellation of Garo and that appellation was elaborated to all the residents of the mountain and it turned debauched from Garo to Garo </v>
      </c>
      <c r="C17" s="16" t="s">
        <v>381</v>
      </c>
      <c r="D17" s="16" t="s">
        <v>382</v>
      </c>
      <c r="E17" s="16" t="s">
        <v>383</v>
      </c>
      <c r="F17" s="16" t="s">
        <v>384</v>
      </c>
    </row>
    <row r="18" spans="1:6" ht="28.5">
      <c r="A18" t="s">
        <v>120</v>
      </c>
      <c r="B18" s="16" t="str">
        <f>Table3[[#This Row],[Extracted Sentence (verbatim)]]</f>
        <v xml:space="preserve"> they all share a common origin and have always considered themselves  portion of the same community</v>
      </c>
      <c r="C18" s="16" t="s">
        <v>385</v>
      </c>
      <c r="D18" s="16" t="s">
        <v>386</v>
      </c>
      <c r="E18" s="16" t="s">
        <v>387</v>
      </c>
      <c r="F18" s="16" t="s">
        <v>86</v>
      </c>
    </row>
    <row r="19" spans="1:6" ht="28.5">
      <c r="A19" t="s">
        <v>122</v>
      </c>
      <c r="B19" s="16" t="str">
        <f>Table3[[#This Row],[Extracted Sentence (verbatim)]]</f>
        <v>There is a strong influence of Bengali language in Mandi, reflected in the use of Bengali words and sentence pattern.</v>
      </c>
      <c r="C19" s="16" t="s">
        <v>388</v>
      </c>
      <c r="D19" s="16" t="s">
        <v>389</v>
      </c>
      <c r="E19" s="16" t="s">
        <v>390</v>
      </c>
      <c r="F19" s="16" t="s">
        <v>391</v>
      </c>
    </row>
    <row r="20" spans="1:6" ht="42.75">
      <c r="A20" t="s">
        <v>124</v>
      </c>
      <c r="B20" s="16" t="str">
        <f>Table3[[#This Row],[Extracted Sentence (verbatim)]]</f>
        <v xml:space="preserve"> nearly all of the of the respondents do not know their specific origins, some  respondents said that they came from India and others suggesting a Tibetan origin. </v>
      </c>
      <c r="C20" s="16" t="s">
        <v>392</v>
      </c>
      <c r="D20" s="16" t="s">
        <v>351</v>
      </c>
      <c r="E20" s="16" t="s">
        <v>393</v>
      </c>
      <c r="F20" s="16" t="s">
        <v>394</v>
      </c>
    </row>
    <row r="21" spans="1:6" ht="28.5">
      <c r="A21" t="s">
        <v>126</v>
      </c>
      <c r="B21" s="16" t="str">
        <f>Table3[[#This Row],[Extracted Sentence (verbatim)]]</f>
        <v xml:space="preserve"> When I asked about their age, many were unsure and couldn't recall their exact age, and some had to rely on others for assistance.</v>
      </c>
      <c r="C21" s="16" t="s">
        <v>395</v>
      </c>
      <c r="D21" s="16" t="s">
        <v>396</v>
      </c>
      <c r="E21" s="16" t="s">
        <v>397</v>
      </c>
      <c r="F21" s="16" t="s">
        <v>398</v>
      </c>
    </row>
    <row r="22" spans="1:6">
      <c r="A22" t="s">
        <v>130</v>
      </c>
      <c r="B22" s="16" t="str">
        <f>Table3[[#This Row],[Extracted Sentence (verbatim)]]</f>
        <v xml:space="preserve"> most respondents were unable to read or write</v>
      </c>
      <c r="C22" s="16" t="s">
        <v>399</v>
      </c>
      <c r="D22" s="16" t="s">
        <v>396</v>
      </c>
      <c r="E22" s="16" t="s">
        <v>397</v>
      </c>
      <c r="F22" s="16" t="s">
        <v>400</v>
      </c>
    </row>
    <row r="23" spans="1:6" ht="42.75">
      <c r="A23" t="s">
        <v>133</v>
      </c>
      <c r="B23" s="16" t="str">
        <f>Table3[[#This Row],[Extracted Sentence (verbatim)]]</f>
        <v>occupations of their family members, and discovered that most were involved in agriculture, while others were students or employed in various services</v>
      </c>
      <c r="C23" s="16" t="s">
        <v>401</v>
      </c>
      <c r="D23" s="16" t="s">
        <v>402</v>
      </c>
      <c r="E23" s="16" t="s">
        <v>403</v>
      </c>
      <c r="F23" s="16" t="s">
        <v>371</v>
      </c>
    </row>
    <row r="24" spans="1:6" ht="28.5">
      <c r="A24" t="s">
        <v>136</v>
      </c>
      <c r="B24" s="16" t="str">
        <f>Table3[[#This Row],[Extracted Sentence (verbatim)]]</f>
        <v>respondents had poor demographic backgrounds. Many were illiterate and belonged to vulnerable populations</v>
      </c>
      <c r="C24" s="16" t="s">
        <v>404</v>
      </c>
      <c r="D24" s="16" t="s">
        <v>351</v>
      </c>
      <c r="E24" s="16" t="s">
        <v>405</v>
      </c>
      <c r="F24" s="16" t="s">
        <v>400</v>
      </c>
    </row>
    <row r="25" spans="1:6" ht="42.75">
      <c r="A25" t="s">
        <v>138</v>
      </c>
      <c r="B25" s="16" t="str">
        <f>Table3[[#This Row],[Extracted Sentence (verbatim)]]</f>
        <v>These individuals were unable to provide accurate information about their family and personal details, and they lacked the ability to sustain their livelihoods or enjoy modern amenities.</v>
      </c>
      <c r="C25" s="16" t="s">
        <v>406</v>
      </c>
      <c r="D25" s="16" t="s">
        <v>407</v>
      </c>
      <c r="E25" s="16" t="s">
        <v>408</v>
      </c>
      <c r="F25" s="16" t="s">
        <v>409</v>
      </c>
    </row>
    <row r="26" spans="1:6" ht="42.75">
      <c r="A26" t="s">
        <v>141</v>
      </c>
      <c r="B26" s="16" t="str">
        <f>Table3[[#This Row],[Extracted Sentence (verbatim)]]</f>
        <v>their lack of education, they are not aware of the importance of family planning and do not prioritize the well-being of their family members.</v>
      </c>
      <c r="C26" s="16" t="s">
        <v>410</v>
      </c>
      <c r="D26" s="16" t="s">
        <v>396</v>
      </c>
      <c r="E26" s="16" t="s">
        <v>411</v>
      </c>
      <c r="F26" s="16" t="s">
        <v>412</v>
      </c>
    </row>
    <row r="27" spans="1:6" ht="28.5">
      <c r="A27" t="s">
        <v>143</v>
      </c>
      <c r="B27" s="16" t="str">
        <f>Table3[[#This Row],[Extracted Sentence (verbatim)]]</f>
        <v>Garo men wear lungis, genjis, trousers, and shirts.</v>
      </c>
      <c r="C27" s="16" t="s">
        <v>413</v>
      </c>
      <c r="D27" s="16" t="s">
        <v>414</v>
      </c>
      <c r="E27" s="16" t="s">
        <v>415</v>
      </c>
      <c r="F27" s="16" t="s">
        <v>416</v>
      </c>
    </row>
    <row r="28" spans="1:6" ht="28.5">
      <c r="A28" t="s">
        <v>147</v>
      </c>
      <c r="B28" s="16" t="str">
        <f>Table3[[#This Row],[Extracted Sentence (verbatim)]]</f>
        <v>Many of them prefer to wear lungis and also wrap a colorful thin towel, similar to a gamcha or dhuti, around their lower body</v>
      </c>
      <c r="C28" s="16" t="s">
        <v>417</v>
      </c>
      <c r="D28" s="16" t="s">
        <v>414</v>
      </c>
      <c r="E28" s="16" t="s">
        <v>418</v>
      </c>
      <c r="F28" s="16" t="s">
        <v>419</v>
      </c>
    </row>
    <row r="29" spans="1:6" ht="42.75">
      <c r="A29" t="s">
        <v>149</v>
      </c>
      <c r="B29" s="16" t="str">
        <f>Table3[[#This Row],[Extracted Sentence (verbatim)]]</f>
        <v xml:space="preserve"> Garo women usually wear orna, sarees, blouses, kamij, petticoats, salwars, but they also wear at home their traditional costumes.</v>
      </c>
      <c r="C29" s="16" t="s">
        <v>420</v>
      </c>
      <c r="D29" s="16" t="s">
        <v>359</v>
      </c>
      <c r="E29" s="16" t="s">
        <v>415</v>
      </c>
      <c r="F29" s="16" t="s">
        <v>421</v>
      </c>
    </row>
    <row r="30" spans="1:6" ht="28.5">
      <c r="A30" t="s">
        <v>151</v>
      </c>
      <c r="B30" s="16" t="str">
        <f>Table3[[#This Row],[Extracted Sentence (verbatim)]]</f>
        <v>During the British colonial rule, Garo men started wearing half-pants and shirts, and later, they began wearing dhutis and shirts.</v>
      </c>
      <c r="C30" s="16" t="s">
        <v>422</v>
      </c>
      <c r="D30" s="16" t="s">
        <v>414</v>
      </c>
      <c r="E30" s="16" t="s">
        <v>415</v>
      </c>
      <c r="F30" s="16" t="s">
        <v>423</v>
      </c>
    </row>
    <row r="31" spans="1:6" ht="28.5">
      <c r="A31" t="s">
        <v>153</v>
      </c>
      <c r="B31" s="16" t="str">
        <f>Table3[[#This Row],[Extracted Sentence (verbatim)]]</f>
        <v xml:space="preserve"> In the past, Garo women used to formerly worn silver jewelry, however, only wealthy women now wear gold ornaments.</v>
      </c>
      <c r="C31" s="16" t="s">
        <v>424</v>
      </c>
      <c r="D31" s="16" t="s">
        <v>359</v>
      </c>
      <c r="E31" s="16" t="s">
        <v>425</v>
      </c>
      <c r="F31" s="16" t="s">
        <v>426</v>
      </c>
    </row>
    <row r="32" spans="1:6" ht="42.75">
      <c r="A32" t="s">
        <v>155</v>
      </c>
      <c r="B32" s="16" t="str">
        <f>Table3[[#This Row],[Extracted Sentence (verbatim)]]</f>
        <v>According to some respondents, the traditional Garo attire consists of dakmanda, daksari, and gandu, but nowadays, they also wear lungis, shirts, and pants like most people.</v>
      </c>
      <c r="C32" s="16" t="s">
        <v>427</v>
      </c>
      <c r="D32" s="16" t="s">
        <v>428</v>
      </c>
      <c r="E32" s="16" t="s">
        <v>429</v>
      </c>
      <c r="F32" s="16" t="s">
        <v>430</v>
      </c>
    </row>
    <row r="33" spans="1:7" ht="42.75">
      <c r="A33" t="s">
        <v>157</v>
      </c>
      <c r="B33" s="16" t="str">
        <f>Table3[[#This Row],[Extracted Sentence (verbatim)]]</f>
        <v>Garo men wear gamchas or dhutis, and women wear sarees, skirts, and trousers adorned with religious and natural motifs such as leaves, flowers, and the eyes of gods.</v>
      </c>
      <c r="D33" s="16"/>
      <c r="E33" s="16"/>
      <c r="F33" s="16"/>
    </row>
    <row r="34" spans="1:7" ht="28.5">
      <c r="A34" t="s">
        <v>159</v>
      </c>
      <c r="B34" s="16" t="str">
        <f>Table3[[#This Row],[Extracted Sentence (verbatim)]]</f>
        <v xml:space="preserve">Their clothing styles have names such as gando, katib, salchak, marang, unpon, and riking. </v>
      </c>
      <c r="C34" s="16" t="s">
        <v>431</v>
      </c>
      <c r="D34" s="16" t="s">
        <v>428</v>
      </c>
      <c r="E34" s="16" t="s">
        <v>432</v>
      </c>
      <c r="F34" s="16" t="s">
        <v>433</v>
      </c>
    </row>
    <row r="35" spans="1:7" ht="28.5">
      <c r="A35" t="s">
        <v>161</v>
      </c>
      <c r="B35" s="16" t="str">
        <f>Table3[[#This Row],[Extracted Sentence (verbatim)]]</f>
        <v>The primary food of Garo people is rice, and they especially enjoy dried fish, particularly the puti species seen in  bhati area.</v>
      </c>
      <c r="C35" s="16" t="s">
        <v>434</v>
      </c>
      <c r="D35" s="16" t="s">
        <v>351</v>
      </c>
      <c r="E35" s="16" t="s">
        <v>435</v>
      </c>
      <c r="F35" s="16" t="s">
        <v>436</v>
      </c>
    </row>
    <row r="36" spans="1:7" ht="42.75">
      <c r="A36" t="s">
        <v>165</v>
      </c>
      <c r="B36" s="16" t="str">
        <f>Table3[[#This Row],[Extracted Sentence (verbatim)]]</f>
        <v>They use a lot of green chili in their curries and enjoy a variety of vegetables such as brinjal, bottle gourd, pumpkin, chichinga, corolla, jheenga, and kidney beans.</v>
      </c>
      <c r="C36" s="16" t="s">
        <v>437</v>
      </c>
      <c r="D36" s="16" t="s">
        <v>351</v>
      </c>
      <c r="E36" s="16" t="s">
        <v>438</v>
      </c>
      <c r="F36" s="16" t="s">
        <v>439</v>
      </c>
    </row>
    <row r="37" spans="1:7" ht="28.5">
      <c r="A37" t="s">
        <v>167</v>
      </c>
      <c r="B37" s="16" t="str">
        <f>Table3[[#This Row],[Extracted Sentence (verbatim)]]</f>
        <v>Garos have adopted many food habits from their Bengali neighbors and often consume rich foods like hotchpotch, pulao, and biriyani.</v>
      </c>
      <c r="C37" s="16" t="s">
        <v>440</v>
      </c>
      <c r="D37" s="16" t="s">
        <v>351</v>
      </c>
      <c r="E37" s="16" t="s">
        <v>441</v>
      </c>
      <c r="F37" s="16" t="s">
        <v>353</v>
      </c>
    </row>
    <row r="38" spans="1:7" ht="71.25">
      <c r="A38" t="s">
        <v>169</v>
      </c>
      <c r="B38" s="16" t="str">
        <f>Table3[[#This Row],[Extracted Sentence (verbatim)]]</f>
        <v>However, they still have a fondness for Spirituous liquor, bamboo shoots, pork, mushrooms ,turtle, which they personally distill , is a necessary component for hosting guests,festivals. According to some respondents, the Garo diet includes rice, pork, beef, mutton, and vegetables.</v>
      </c>
      <c r="C38" s="16" t="s">
        <v>442</v>
      </c>
      <c r="D38" s="16" t="s">
        <v>351</v>
      </c>
      <c r="E38" s="16" t="s">
        <v>443</v>
      </c>
      <c r="F38" s="16" t="s">
        <v>444</v>
      </c>
    </row>
    <row r="39" spans="1:7">
      <c r="A39" t="s">
        <v>171</v>
      </c>
      <c r="B39" s="16" t="str">
        <f>Table3[[#This Row],[Extracted Sentence (verbatim)]]</f>
        <v>They generally prefer to eat healthy foods</v>
      </c>
      <c r="C39" s="16" t="s">
        <v>445</v>
      </c>
      <c r="D39" s="16" t="s">
        <v>351</v>
      </c>
      <c r="E39" s="16" t="s">
        <v>446</v>
      </c>
      <c r="F39" s="16" t="s">
        <v>447</v>
      </c>
    </row>
    <row r="40" spans="1:7" ht="28.5">
      <c r="A40" t="s">
        <v>173</v>
      </c>
      <c r="B40" s="16" t="str">
        <f>Table3[[#This Row],[Extracted Sentence (verbatim)]]</f>
        <v>However, they previously consumed alcohol at home when they were younger.</v>
      </c>
      <c r="C40" s="16" t="s">
        <v>448</v>
      </c>
      <c r="D40" s="16" t="s">
        <v>338</v>
      </c>
      <c r="E40" s="16" t="s">
        <v>449</v>
      </c>
      <c r="F40" s="16" t="s">
        <v>450</v>
      </c>
      <c r="G40" t="s">
        <v>451</v>
      </c>
    </row>
    <row r="41" spans="1:7" ht="28.5">
      <c r="A41" t="s">
        <v>175</v>
      </c>
      <c r="B41" s="16" t="str">
        <f>Table3[[#This Row],[Extracted Sentence (verbatim)]]</f>
        <v>The Garo food culture has evolved with modern times, and people have started to eat more like the local population.</v>
      </c>
      <c r="C41" s="16" t="s">
        <v>452</v>
      </c>
      <c r="D41" s="16" t="s">
        <v>453</v>
      </c>
      <c r="E41" s="16" t="s">
        <v>454</v>
      </c>
      <c r="F41" s="16" t="s">
        <v>455</v>
      </c>
    </row>
    <row r="42" spans="1:7" ht="42.75">
      <c r="A42" t="s">
        <v>177</v>
      </c>
      <c r="B42" s="16" t="str">
        <f>Table3[[#This Row],[Extracted Sentence (verbatim)]]</f>
        <v>The traditional wine drink used to be an essential element of their daily food, but because of their  christian values  they no longer using alcohol.</v>
      </c>
      <c r="C42" s="16" t="s">
        <v>456</v>
      </c>
      <c r="D42" s="16" t="s">
        <v>338</v>
      </c>
      <c r="E42" s="16" t="s">
        <v>457</v>
      </c>
      <c r="F42" s="16" t="s">
        <v>458</v>
      </c>
    </row>
    <row r="43" spans="1:7" ht="28.5">
      <c r="A43" t="s">
        <v>180</v>
      </c>
      <c r="B43" s="16" t="str">
        <f>Table3[[#This Row],[Extracted Sentence (verbatim)]]</f>
        <v xml:space="preserve"> their favorite dishes include dried fish, pork, rabbit, donkey, beef, and chicken, which they produce themselves. </v>
      </c>
      <c r="C43" s="16" t="s">
        <v>459</v>
      </c>
      <c r="D43" s="16" t="s">
        <v>338</v>
      </c>
      <c r="E43" s="16" t="s">
        <v>460</v>
      </c>
      <c r="F43" s="16" t="s">
        <v>461</v>
      </c>
    </row>
    <row r="44" spans="1:7" ht="28.5">
      <c r="A44" t="s">
        <v>182</v>
      </c>
      <c r="B44" s="16" t="str">
        <f>Table3[[#This Row],[Extracted Sentence (verbatim)]]</f>
        <v xml:space="preserve">They enjoy a drink called 'Chu' and consider it an important part of any program or event. </v>
      </c>
      <c r="C44" s="16" t="s">
        <v>462</v>
      </c>
      <c r="D44" s="16" t="s">
        <v>463</v>
      </c>
      <c r="E44" s="16" t="s">
        <v>464</v>
      </c>
      <c r="F44" s="16" t="s">
        <v>465</v>
      </c>
    </row>
    <row r="45" spans="1:7" ht="28.5">
      <c r="A45" t="s">
        <v>184</v>
      </c>
      <c r="B45" s="16" t="str">
        <f>Table3[[#This Row],[Extracted Sentence (verbatim)]]</f>
        <v>traditional Garo houses in the hills are simple and contain minimal furniture, often just a bamboo floor or a raised platform.</v>
      </c>
      <c r="C45" s="16" t="s">
        <v>466</v>
      </c>
      <c r="D45" s="16" t="s">
        <v>467</v>
      </c>
      <c r="E45" s="16" t="s">
        <v>468</v>
      </c>
      <c r="F45" s="16" t="s">
        <v>469</v>
      </c>
    </row>
    <row r="46" spans="1:7" ht="28.5">
      <c r="A46" t="s">
        <v>188</v>
      </c>
      <c r="B46" s="16" t="str">
        <f>Table3[[#This Row],[Extracted Sentence (verbatim)]]</f>
        <v>households possess wooden chairs, tables, stools, wardrobes, and steel almirahs.</v>
      </c>
      <c r="C46" s="16" t="s">
        <v>470</v>
      </c>
      <c r="D46" s="16" t="s">
        <v>471</v>
      </c>
      <c r="E46" s="16" t="s">
        <v>472</v>
      </c>
      <c r="F46" s="16" t="s">
        <v>473</v>
      </c>
    </row>
    <row r="47" spans="1:7" ht="28.5">
      <c r="A47" t="s">
        <v>190</v>
      </c>
      <c r="B47" s="16" t="str">
        <f>Table3[[#This Row],[Extracted Sentence (verbatim)]]</f>
        <v>Household utensils and implements have also evolved, using earthenware replaced by metal as a sign of social distinction.</v>
      </c>
      <c r="C47" s="16" t="s">
        <v>474</v>
      </c>
      <c r="D47" s="16" t="s">
        <v>471</v>
      </c>
      <c r="E47" s="16" t="s">
        <v>475</v>
      </c>
      <c r="F47" s="16" t="s">
        <v>476</v>
      </c>
    </row>
    <row r="48" spans="1:7" ht="28.5">
      <c r="A48" t="s">
        <v>192</v>
      </c>
      <c r="B48" s="16" t="str">
        <f>Table3[[#This Row],[Extracted Sentence (verbatim)]]</f>
        <v>plain and hill Garos use different types of baskets for various purposes, with varying shapes and construction materials</v>
      </c>
      <c r="C48" s="16" t="s">
        <v>477</v>
      </c>
      <c r="D48" s="16" t="s">
        <v>478</v>
      </c>
      <c r="E48" s="16" t="s">
        <v>479</v>
      </c>
      <c r="F48" s="16" t="s">
        <v>480</v>
      </c>
    </row>
    <row r="49" spans="1:7" ht="57">
      <c r="A49" t="s">
        <v>194</v>
      </c>
      <c r="B49" s="16" t="str">
        <f>Table3[[#This Row],[Extracted Sentence (verbatim)]]</f>
        <v xml:space="preserve"> Some respondents said living in small, inadequate houses made of mud or thatch, but with time, their socio-economic conditions have changed and they now build their homes with tin, wood, and other materials</v>
      </c>
      <c r="C49" s="16" t="s">
        <v>481</v>
      </c>
      <c r="D49" s="16" t="s">
        <v>338</v>
      </c>
      <c r="E49" s="16" t="s">
        <v>482</v>
      </c>
      <c r="F49" s="16" t="s">
        <v>483</v>
      </c>
    </row>
    <row r="50" spans="1:7" ht="28.5">
      <c r="A50" t="s">
        <v>196</v>
      </c>
      <c r="B50" s="16" t="str">
        <f>Table3[[#This Row],[Extracted Sentence (verbatim)]]</f>
        <v>some respondents noted improvements in medical facilities, others stated that access to healthcare was still inadequate</v>
      </c>
      <c r="C50" s="16" t="s">
        <v>484</v>
      </c>
      <c r="D50" s="16" t="s">
        <v>351</v>
      </c>
      <c r="E50" s="16" t="s">
        <v>485</v>
      </c>
      <c r="F50" s="16" t="s">
        <v>486</v>
      </c>
    </row>
    <row r="51" spans="1:7" ht="28.5">
      <c r="A51" t="s">
        <v>198</v>
      </c>
      <c r="B51" s="16" t="str">
        <f>Table3[[#This Row],[Extracted Sentence (verbatim)]]</f>
        <v xml:space="preserve"> they now use modern materials like tin due to improvements in their socio-economic conditions</v>
      </c>
      <c r="C51" s="16" t="s">
        <v>487</v>
      </c>
      <c r="D51" s="16" t="s">
        <v>338</v>
      </c>
      <c r="E51" s="16" t="s">
        <v>488</v>
      </c>
      <c r="F51" s="16" t="s">
        <v>489</v>
      </c>
    </row>
    <row r="52" spans="1:7" ht="42.75">
      <c r="A52" t="s">
        <v>200</v>
      </c>
      <c r="B52" s="16" t="str">
        <f>Table3[[#This Row],[Extracted Sentence (verbatim)]]</f>
        <v>Garo celebrate seven main festivals from the beginning to the end of Jhum cultivation. These are Aaofata, Denabilsia, Agalmaka, Miamua, Rongchugalla, Jamegappa and Wangala.</v>
      </c>
      <c r="C52" s="16" t="s">
        <v>490</v>
      </c>
      <c r="D52" s="16" t="s">
        <v>338</v>
      </c>
      <c r="E52" s="16" t="s">
        <v>491</v>
      </c>
      <c r="F52" s="16" t="s">
        <v>492</v>
      </c>
    </row>
    <row r="53" spans="1:7" ht="28.5">
      <c r="A53" t="s">
        <v>204</v>
      </c>
      <c r="B53" s="16" t="str">
        <f>Table3[[#This Row],[Extracted Sentence (verbatim)]]</f>
        <v>now-a-days they are not dependent on Jhum cultivation</v>
      </c>
      <c r="C53" s="16" t="s">
        <v>493</v>
      </c>
      <c r="D53" s="16" t="s">
        <v>338</v>
      </c>
      <c r="E53" s="16" t="s">
        <v>494</v>
      </c>
      <c r="F53" s="16" t="s">
        <v>495</v>
      </c>
    </row>
    <row r="54" spans="1:7" ht="28.5">
      <c r="A54" t="s">
        <v>206</v>
      </c>
      <c r="B54" s="16" t="str">
        <f>Table3[[#This Row],[Extracted Sentence (verbatim)]]</f>
        <v>.Currently, Garo community celebrates two major festivals: Wangala and Christmas Day.</v>
      </c>
      <c r="C54" s="16" t="s">
        <v>496</v>
      </c>
      <c r="D54" s="16" t="s">
        <v>338</v>
      </c>
      <c r="E54" s="16" t="s">
        <v>497</v>
      </c>
      <c r="F54" s="16" t="s">
        <v>498</v>
      </c>
    </row>
    <row r="55" spans="1:7" ht="42.75">
      <c r="A55" t="s">
        <v>208</v>
      </c>
      <c r="B55" s="16" t="str">
        <f>Table3[[#This Row],[Extracted Sentence (verbatim)]]</f>
        <v>Wangala is considered the most significant festival and is celebrated after the rice harvesting season is over, typically between October and December</v>
      </c>
      <c r="C55" s="16" t="s">
        <v>499</v>
      </c>
      <c r="D55" s="16" t="s">
        <v>500</v>
      </c>
      <c r="E55" s="16" t="s">
        <v>501</v>
      </c>
      <c r="F55" s="16" t="s">
        <v>502</v>
      </c>
    </row>
    <row r="56" spans="1:7" ht="42.75">
      <c r="A56" t="s">
        <v>210</v>
      </c>
      <c r="B56" s="16" t="str">
        <f>Table3[[#This Row],[Extracted Sentence (verbatim)]]</f>
        <v>It is ritual of "thanksgiving" in order to honor Misi-Saljong, additionally acquainted Pattigipa  Ra Rongipa or "The Great donor" for blessing them with a good rice harvest</v>
      </c>
      <c r="C56" s="16" t="s">
        <v>503</v>
      </c>
      <c r="D56" s="16" t="s">
        <v>500</v>
      </c>
      <c r="E56" s="16" t="s">
        <v>504</v>
      </c>
      <c r="F56" s="16" t="s">
        <v>505</v>
      </c>
      <c r="G56" t="s">
        <v>451</v>
      </c>
    </row>
    <row r="57" spans="1:7" ht="42.75">
      <c r="A57" t="s">
        <v>212</v>
      </c>
      <c r="B57" s="16" t="str">
        <f>Table3[[#This Row],[Extracted Sentence (verbatim)]]</f>
        <v>A day before festival of Wangala, a ritual called "Rugala" using the Nokma is performed, where the authentic rice beer along with offerings include vegetables ,boiled rice to Misi-Saljong.</v>
      </c>
      <c r="C57" s="16" t="s">
        <v>506</v>
      </c>
      <c r="D57" s="16" t="s">
        <v>507</v>
      </c>
      <c r="E57" s="16" t="s">
        <v>508</v>
      </c>
      <c r="F57" s="16" t="s">
        <v>509</v>
      </c>
    </row>
    <row r="58" spans="1:7" ht="57">
      <c r="A58" t="s">
        <v>214</v>
      </c>
      <c r="B58" s="16" t="str">
        <f>Table3[[#This Row],[Extracted Sentence (verbatim)]]</f>
        <v>The following day, the "chatso" ceremony performs by the Nokma, burning incense to signal the beginning at his home’s main pillar for the week-long Wangala festival, which has been a traditional practice for the Garo people for centuries</v>
      </c>
      <c r="C58" s="16" t="s">
        <v>510</v>
      </c>
      <c r="D58" s="16" t="s">
        <v>511</v>
      </c>
      <c r="E58" s="16" t="s">
        <v>512</v>
      </c>
      <c r="F58" s="16" t="s">
        <v>513</v>
      </c>
    </row>
    <row r="59" spans="1:7" ht="28.5">
      <c r="A59" t="s">
        <v>217</v>
      </c>
      <c r="B59" s="16" t="str">
        <f>Table3[[#This Row],[Extracted Sentence (verbatim)]]</f>
        <v xml:space="preserve">When Christmas Day arrives regarding the Garo community , they attend church before beginning the festivities. </v>
      </c>
      <c r="C59" s="16" t="s">
        <v>514</v>
      </c>
      <c r="D59" s="16" t="s">
        <v>338</v>
      </c>
      <c r="E59" s="16" t="s">
        <v>515</v>
      </c>
      <c r="F59" s="16" t="s">
        <v>516</v>
      </c>
    </row>
    <row r="60" spans="1:7">
      <c r="A60" t="s">
        <v>220</v>
      </c>
      <c r="B60" s="16" t="str">
        <f>Table3[[#This Row],[Extracted Sentence (verbatim)]]</f>
        <v>This day is a national holiday and is celebrated formally worldwide.</v>
      </c>
      <c r="C60" s="16" t="s">
        <v>517</v>
      </c>
      <c r="D60" s="16" t="s">
        <v>518</v>
      </c>
      <c r="E60" s="16" t="s">
        <v>504</v>
      </c>
      <c r="F60" s="16" t="s">
        <v>519</v>
      </c>
    </row>
    <row r="61" spans="1:7" ht="42.75">
      <c r="A61" t="s">
        <v>222</v>
      </c>
      <c r="B61" s="16" t="str">
        <f>Table3[[#This Row],[Extracted Sentence (verbatim)]]</f>
        <v>Garo Christian friends and family exchange greetings of "Happy Christmas Day," which signifies celebrating the wonderful day, and offer traditional sweets and cakes.</v>
      </c>
      <c r="C61" s="16" t="s">
        <v>520</v>
      </c>
      <c r="D61" s="16" t="s">
        <v>338</v>
      </c>
      <c r="E61" s="16" t="s">
        <v>521</v>
      </c>
      <c r="F61" s="16" t="s">
        <v>522</v>
      </c>
    </row>
    <row r="62" spans="1:7" ht="28.5">
      <c r="A62" t="s">
        <v>224</v>
      </c>
      <c r="B62" s="16" t="str">
        <f>Table3[[#This Row],[Extracted Sentence (verbatim)]]</f>
        <v xml:space="preserve"> According to many respondents, they prefer to celebrate "Wangala" because it is a traditional festival that still exists within  the  Garo</v>
      </c>
      <c r="C62" s="16" t="s">
        <v>523</v>
      </c>
      <c r="D62" s="16" t="s">
        <v>338</v>
      </c>
      <c r="E62" s="16" t="s">
        <v>524</v>
      </c>
      <c r="F62" s="16" t="s">
        <v>525</v>
      </c>
    </row>
    <row r="63" spans="1:7" ht="42.75">
      <c r="A63" t="s">
        <v>226</v>
      </c>
      <c r="B63" s="16" t="str">
        <f>Table3[[#This Row],[Extracted Sentence (verbatim)]]</f>
        <v>However, some people from different castes have started celebrating it by themselves, which should not be happening since the festival is for the entire Garo community.</v>
      </c>
      <c r="D63" s="16"/>
      <c r="E63" s="16"/>
      <c r="F63" s="16"/>
    </row>
    <row r="64" spans="1:7" ht="28.5">
      <c r="A64" t="s">
        <v>228</v>
      </c>
      <c r="B64" s="16" t="str">
        <f>Table3[[#This Row],[Extracted Sentence (verbatim)]]</f>
        <v>The leaders organize this festival locally and centrally, and it is celebrated every year by october’s end</v>
      </c>
      <c r="C64" s="16" t="s">
        <v>526</v>
      </c>
      <c r="D64" s="16" t="s">
        <v>525</v>
      </c>
      <c r="E64" s="16" t="s">
        <v>527</v>
      </c>
      <c r="F64" s="16" t="s">
        <v>528</v>
      </c>
    </row>
    <row r="65" spans="1:6" ht="28.5">
      <c r="A65" t="s">
        <v>230</v>
      </c>
      <c r="B65" s="16" t="str">
        <f>Table3[[#This Row],[Extracted Sentence (verbatim)]]</f>
        <v>The Garo community has undergone several cultural changes due to their conversion to Christianity.</v>
      </c>
      <c r="C65" s="16" t="s">
        <v>529</v>
      </c>
      <c r="D65" s="16" t="s">
        <v>338</v>
      </c>
      <c r="E65" s="16" t="s">
        <v>530</v>
      </c>
      <c r="F65" s="16" t="s">
        <v>531</v>
      </c>
    </row>
    <row r="66" spans="1:6" ht="28.5">
      <c r="A66" t="s">
        <v>232</v>
      </c>
      <c r="B66" s="16" t="str">
        <f>Table3[[#This Row],[Extracted Sentence (verbatim)]]</f>
        <v>They now celebrate Christmas Day and follow Christian practices.</v>
      </c>
      <c r="C66" s="16" t="s">
        <v>532</v>
      </c>
      <c r="D66" s="16" t="s">
        <v>338</v>
      </c>
      <c r="E66" s="16" t="s">
        <v>497</v>
      </c>
      <c r="F66" s="16" t="s">
        <v>533</v>
      </c>
    </row>
    <row r="67" spans="1:6">
      <c r="A67" t="s">
        <v>234</v>
      </c>
      <c r="B67" s="16" t="str">
        <f>Table3[[#This Row],[Extracted Sentence (verbatim)]]</f>
        <v xml:space="preserve"> Garo community’s  traditional marital system is also disappearing.</v>
      </c>
      <c r="C67" s="16" t="s">
        <v>534</v>
      </c>
      <c r="D67" s="16" t="s">
        <v>338</v>
      </c>
      <c r="E67" s="16" t="s">
        <v>373</v>
      </c>
      <c r="F67" s="16" t="s">
        <v>535</v>
      </c>
    </row>
    <row r="68" spans="1:6" ht="42.75">
      <c r="A68" t="s">
        <v>236</v>
      </c>
      <c r="B68" s="16" t="str">
        <f>Table3[[#This Row],[Extracted Sentence (verbatim)]]</f>
        <v>The traditional religion of Garo people is called 'Sangsarek', in which they consider certain things and forces of nature to be powerful Gods.</v>
      </c>
      <c r="C68" s="16" t="s">
        <v>536</v>
      </c>
      <c r="D68" s="16" t="s">
        <v>537</v>
      </c>
      <c r="E68" s="16" t="s">
        <v>538</v>
      </c>
      <c r="F68" s="16" t="s">
        <v>539</v>
      </c>
    </row>
    <row r="69" spans="1:6" ht="28.5">
      <c r="A69" t="s">
        <v>240</v>
      </c>
      <c r="B69" s="16" t="str">
        <f>Table3[[#This Row],[Extracted Sentence (verbatim)]]</f>
        <v>They worship these Gods through various rituals in order to seek their blessings and protection from harm.</v>
      </c>
      <c r="C69" s="16" t="s">
        <v>540</v>
      </c>
      <c r="D69" s="16" t="s">
        <v>537</v>
      </c>
      <c r="E69" s="16" t="s">
        <v>541</v>
      </c>
      <c r="F69" s="16" t="s">
        <v>542</v>
      </c>
    </row>
    <row r="70" spans="1:6" ht="28.5">
      <c r="A70" t="s">
        <v>242</v>
      </c>
      <c r="B70" s="16" t="str">
        <f>Table3[[#This Row],[Extracted Sentence (verbatim)]]</f>
        <v xml:space="preserve">The Garo people have faith in the power of the sun, stars, moon, thunder, and rain. </v>
      </c>
      <c r="C70" s="16" t="s">
        <v>543</v>
      </c>
      <c r="D70" s="16" t="s">
        <v>351</v>
      </c>
      <c r="E70" s="16" t="s">
        <v>544</v>
      </c>
      <c r="F70" s="16" t="s">
        <v>545</v>
      </c>
    </row>
    <row r="71" spans="1:6" ht="28.5">
      <c r="A71" t="s">
        <v>244</v>
      </c>
      <c r="B71" s="16" t="str">
        <f>Table3[[#This Row],[Extracted Sentence (verbatim)]]</f>
        <v>They also have faith in a supreme God who created the universe and controls the other smaller Gods.</v>
      </c>
      <c r="C71" s="16" t="s">
        <v>546</v>
      </c>
      <c r="D71" s="16" t="s">
        <v>351</v>
      </c>
      <c r="E71" s="16" t="s">
        <v>547</v>
      </c>
      <c r="F71" s="16" t="s">
        <v>548</v>
      </c>
    </row>
    <row r="72" spans="1:6" ht="28.5">
      <c r="A72" t="s">
        <v>246</v>
      </c>
      <c r="B72" s="16" t="str">
        <f>Table3[[#This Row],[Extracted Sentence (verbatim)]]</f>
        <v>The Garo people also have faith in the transmigration of souls after death.</v>
      </c>
      <c r="C72" s="16" t="s">
        <v>549</v>
      </c>
      <c r="D72" s="16" t="s">
        <v>351</v>
      </c>
      <c r="E72" s="16" t="s">
        <v>550</v>
      </c>
      <c r="F72" s="16" t="s">
        <v>551</v>
      </c>
    </row>
    <row r="73" spans="1:6" ht="28.5">
      <c r="A73" t="s">
        <v>248</v>
      </c>
      <c r="B73" s="16" t="str">
        <f>Table3[[#This Row],[Extracted Sentence (verbatim)]]</f>
        <v>The departed soul travels to a place called Mong Sangram and then to Chikmang, where it meets other departed souls of relatives.</v>
      </c>
      <c r="C73" s="16" t="s">
        <v>552</v>
      </c>
      <c r="D73" s="16" t="s">
        <v>553</v>
      </c>
      <c r="E73" s="16" t="s">
        <v>554</v>
      </c>
      <c r="F73" s="16" t="s">
        <v>555</v>
      </c>
    </row>
    <row r="74" spans="1:6" ht="28.5">
      <c r="A74" t="s">
        <v>250</v>
      </c>
      <c r="B74" s="16" t="str">
        <f>Table3[[#This Row],[Extracted Sentence (verbatim)]]</f>
        <v>It then rests at Missal Charms, where a judgment is made on the person's previous life deeds.</v>
      </c>
      <c r="C74" s="16" t="s">
        <v>556</v>
      </c>
      <c r="D74" s="16" t="s">
        <v>553</v>
      </c>
      <c r="E74" s="16" t="s">
        <v>557</v>
      </c>
      <c r="F74" s="16" t="s">
        <v>558</v>
      </c>
    </row>
    <row r="75" spans="1:6" ht="28.5">
      <c r="A75" t="s">
        <v>252</v>
      </c>
      <c r="B75" s="16" t="str">
        <f>Table3[[#This Row],[Extracted Sentence (verbatim)]]</f>
        <v>If the spirit is virtuous, it will be transmigrated to the earth as an animal or a tree.</v>
      </c>
      <c r="C75" s="16" t="s">
        <v>559</v>
      </c>
      <c r="D75" s="16" t="s">
        <v>560</v>
      </c>
      <c r="E75" s="16" t="s">
        <v>561</v>
      </c>
      <c r="F75" s="16" t="s">
        <v>562</v>
      </c>
    </row>
    <row r="76" spans="1:6" ht="28.5">
      <c r="A76" t="s">
        <v>254</v>
      </c>
      <c r="B76" s="16" t="str">
        <f>Table3[[#This Row],[Extracted Sentence (verbatim)]]</f>
        <v xml:space="preserve"> However, if someone dies with debt, their soul will be reborn as a dog.</v>
      </c>
      <c r="C76" s="16" t="s">
        <v>563</v>
      </c>
      <c r="D76" s="16" t="s">
        <v>351</v>
      </c>
      <c r="E76" s="16" t="s">
        <v>564</v>
      </c>
      <c r="F76" s="16" t="s">
        <v>565</v>
      </c>
    </row>
    <row r="77" spans="1:6" ht="42.75">
      <c r="A77" t="s">
        <v>256</v>
      </c>
      <c r="B77" s="16" t="str">
        <f>Table3[[#This Row],[Extracted Sentence (verbatim)]]</f>
        <v>If someone commits suicide or is killed by a wild animal, their soul is believed to transform into a ghost, witch, or evil spirit responsible for various diseases, fear, and misfortune.</v>
      </c>
      <c r="C77" s="16" t="s">
        <v>566</v>
      </c>
      <c r="D77" s="16" t="s">
        <v>351</v>
      </c>
      <c r="E77" s="16" t="s">
        <v>567</v>
      </c>
      <c r="F77" s="16" t="s">
        <v>568</v>
      </c>
    </row>
    <row r="78" spans="1:6" ht="28.5">
      <c r="A78" t="s">
        <v>258</v>
      </c>
      <c r="B78" s="16" t="str">
        <f>Table3[[#This Row],[Extracted Sentence (verbatim)]]</f>
        <v>.They worship several Gods, including Tatara, Saljong, Susime, and Calcame</v>
      </c>
      <c r="C78" s="16" t="s">
        <v>569</v>
      </c>
      <c r="D78" s="16" t="s">
        <v>338</v>
      </c>
      <c r="E78" s="16" t="s">
        <v>570</v>
      </c>
      <c r="F78" s="16" t="s">
        <v>571</v>
      </c>
    </row>
    <row r="79" spans="1:6" ht="42.75">
      <c r="A79" t="s">
        <v>260</v>
      </c>
      <c r="B79" s="16" t="str">
        <f>Table3[[#This Row],[Extracted Sentence (verbatim)]]</f>
        <v>.They believes that only the Khamal (priest) can identify the presence and functions of the Gods, so they often seek the Khamal's help for the treatment of illnesses and for carrying out devotions.</v>
      </c>
      <c r="C79" s="16" t="s">
        <v>572</v>
      </c>
      <c r="D79" s="16" t="s">
        <v>338</v>
      </c>
      <c r="E79" s="16" t="s">
        <v>573</v>
      </c>
      <c r="F79" s="16" t="s">
        <v>574</v>
      </c>
    </row>
    <row r="80" spans="1:6" ht="42.75">
      <c r="A80" t="s">
        <v>262</v>
      </c>
      <c r="B80" s="16" t="str">
        <f>Table3[[#This Row],[Extracted Sentence (verbatim)]]</f>
        <v>Garo people used to follow their traditional religion, which involved beliefs in spirits dwelling in trees, stones, and hills, and a complex system of mourning ceremonies to protect the soul of the deceased</v>
      </c>
      <c r="C80" s="16" t="s">
        <v>575</v>
      </c>
      <c r="D80" s="16" t="s">
        <v>351</v>
      </c>
      <c r="E80" s="16" t="s">
        <v>576</v>
      </c>
      <c r="F80" s="16" t="s">
        <v>577</v>
      </c>
    </row>
    <row r="81" spans="1:6" ht="28.5">
      <c r="A81" t="s">
        <v>264</v>
      </c>
      <c r="B81" s="16" t="str">
        <f>Table3[[#This Row],[Extracted Sentence (verbatim)]]</f>
        <v xml:space="preserve"> Over time, many Garos converted to Christianity, influenced by the persuasive abilities of the missionaries and the allure of valuable gifts</v>
      </c>
      <c r="C81" s="16" t="s">
        <v>578</v>
      </c>
      <c r="D81" s="16" t="s">
        <v>338</v>
      </c>
      <c r="E81" s="16" t="s">
        <v>579</v>
      </c>
      <c r="F81" s="16" t="s">
        <v>531</v>
      </c>
    </row>
    <row r="82" spans="1:6" ht="42.75">
      <c r="A82" t="s">
        <v>266</v>
      </c>
      <c r="B82" s="16" t="str">
        <f>Table3[[#This Row],[Extracted Sentence (verbatim)]]</f>
        <v>Some respondents attribute their conversion to Christianity to the persuasive abilities of Christian missionaries and foreigners influence who have gifted valuable items to their king</v>
      </c>
      <c r="D82" s="16"/>
      <c r="E82" s="16"/>
      <c r="F82" s="16"/>
    </row>
    <row r="83" spans="1:6" ht="28.5">
      <c r="A83" t="s">
        <v>268</v>
      </c>
      <c r="B83" s="16" t="str">
        <f>Table3[[#This Row],[Extracted Sentence (verbatim)]]</f>
        <v>Others have converted to Christianity due to a personal conviction in the teachings of the Bible and belief in God.</v>
      </c>
      <c r="D83" s="16"/>
      <c r="E83" s="16"/>
      <c r="F83" s="16"/>
    </row>
    <row r="84" spans="1:6" ht="42.75">
      <c r="A84" t="s">
        <v>270</v>
      </c>
      <c r="B84" s="16" t="str">
        <f>Table3[[#This Row],[Extracted Sentence (verbatim)]]</f>
        <v>The majority of Garos living in the study area of Madhupur have embraced Christianity, but there is still a significant portion that adheres to their traditional religion, Sangsarek.</v>
      </c>
      <c r="C84" s="16" t="s">
        <v>580</v>
      </c>
      <c r="D84" s="16" t="s">
        <v>338</v>
      </c>
      <c r="E84" s="16" t="s">
        <v>581</v>
      </c>
      <c r="F84" s="16" t="s">
        <v>531</v>
      </c>
    </row>
    <row r="85" spans="1:6" ht="42.75">
      <c r="A85" t="s">
        <v>272</v>
      </c>
      <c r="B85" s="16" t="str">
        <f>Table3[[#This Row],[Extracted Sentence (verbatim)]]</f>
        <v>Some Garos have also converted to Islam or other religions.However, it is observed that after converting to Christianity, many Garos are disregarding their traditional customs and adopting new practices.</v>
      </c>
      <c r="C85" s="16" t="s">
        <v>582</v>
      </c>
      <c r="D85" s="16" t="s">
        <v>338</v>
      </c>
      <c r="E85" s="16" t="s">
        <v>583</v>
      </c>
      <c r="F85" s="16" t="s">
        <v>584</v>
      </c>
    </row>
    <row r="86" spans="1:6">
      <c r="A86" t="s">
        <v>274</v>
      </c>
      <c r="B86" s="16" t="str">
        <f>Table3[[#This Row],[Extracted Sentence (verbatim)]]</f>
        <v>,Garo community’s health status is in good shape</v>
      </c>
      <c r="C86" s="16" t="s">
        <v>585</v>
      </c>
      <c r="D86" s="16" t="s">
        <v>338</v>
      </c>
      <c r="E86" s="16" t="s">
        <v>586</v>
      </c>
      <c r="F86" s="16" t="s">
        <v>587</v>
      </c>
    </row>
    <row r="87" spans="1:6" ht="28.5">
      <c r="A87" t="s">
        <v>278</v>
      </c>
      <c r="B87" s="16" t="str">
        <f>Table3[[#This Row],[Extracted Sentence (verbatim)]]</f>
        <v>The majority of Garo people attribute illnesses to displeasing God and Goddess or curse of inactive spirits</v>
      </c>
      <c r="C87" s="16" t="s">
        <v>588</v>
      </c>
      <c r="D87" s="16" t="s">
        <v>351</v>
      </c>
      <c r="E87" s="16" t="s">
        <v>589</v>
      </c>
      <c r="F87" s="16" t="s">
        <v>590</v>
      </c>
    </row>
    <row r="88" spans="1:6" ht="28.5">
      <c r="A88" t="s">
        <v>280</v>
      </c>
      <c r="B88" s="16" t="str">
        <f>Table3[[#This Row],[Extracted Sentence (verbatim)]]</f>
        <v>Therefore, they offer sacrifices to appease the spirits and seek relief from their illnesses.</v>
      </c>
      <c r="C88" s="16" t="s">
        <v>591</v>
      </c>
      <c r="D88" s="16" t="s">
        <v>351</v>
      </c>
      <c r="E88" s="16" t="s">
        <v>592</v>
      </c>
      <c r="F88" s="16" t="s">
        <v>593</v>
      </c>
    </row>
    <row r="89" spans="1:6" ht="28.5">
      <c r="A89" t="s">
        <v>282</v>
      </c>
      <c r="B89" s="16" t="str">
        <f>Table3[[#This Row],[Extracted Sentence (verbatim)]]</f>
        <v xml:space="preserve"> Garos consume diverse food items including natural vegetables and have preference for drinking wine made from boiled rice</v>
      </c>
      <c r="C89" s="16" t="s">
        <v>594</v>
      </c>
      <c r="D89" s="16" t="s">
        <v>338</v>
      </c>
      <c r="E89" s="16" t="s">
        <v>595</v>
      </c>
      <c r="F89" s="16" t="s">
        <v>596</v>
      </c>
    </row>
    <row r="90" spans="1:6" ht="42.75">
      <c r="A90" t="s">
        <v>284</v>
      </c>
      <c r="B90" s="16" t="str">
        <f>Table3[[#This Row],[Extracted Sentence (verbatim)]]</f>
        <v>The Garo people unable to access to sufficient social amenities, particularly healthcare facilities that are functional and meet their needs.</v>
      </c>
      <c r="C90" s="16" t="s">
        <v>597</v>
      </c>
      <c r="D90" s="16" t="s">
        <v>351</v>
      </c>
      <c r="E90" s="16" t="s">
        <v>598</v>
      </c>
      <c r="F90" s="16" t="s">
        <v>599</v>
      </c>
    </row>
    <row r="91" spans="1:6" ht="28.5">
      <c r="A91" t="s">
        <v>286</v>
      </c>
      <c r="B91" s="16" t="str">
        <f>Table3[[#This Row],[Extracted Sentence (verbatim)]]</f>
        <v xml:space="preserve"> They have to travel lengthy distance to access medical care in government hospitals.</v>
      </c>
      <c r="C91" s="16" t="s">
        <v>600</v>
      </c>
      <c r="D91" s="16" t="s">
        <v>351</v>
      </c>
      <c r="E91" s="16" t="s">
        <v>601</v>
      </c>
      <c r="F91" s="16" t="s">
        <v>602</v>
      </c>
    </row>
    <row r="92" spans="1:6" ht="42.75">
      <c r="A92" t="s">
        <v>288</v>
      </c>
      <c r="B92" s="16" t="str">
        <f>Table3[[#This Row],[Extracted Sentence (verbatim)]]</f>
        <v>Moreover, several of the mission clinics located in the community do not possess adequate medical facilities, which is a major concern for the rural areas of Bangladesh.</v>
      </c>
      <c r="C92" s="16" t="s">
        <v>603</v>
      </c>
      <c r="D92" s="16" t="s">
        <v>338</v>
      </c>
      <c r="E92" s="16" t="s">
        <v>604</v>
      </c>
      <c r="F92" s="16" t="s">
        <v>605</v>
      </c>
    </row>
    <row r="93" spans="1:6" ht="28.5">
      <c r="A93" t="s">
        <v>290</v>
      </c>
      <c r="B93" s="16" t="str">
        <f>Table3[[#This Row],[Extracted Sentence (verbatim)]]</f>
        <v>According to one respondent, when they fall ill, they usually seek treatment at government hospitals.</v>
      </c>
      <c r="D93" s="16"/>
      <c r="E93" s="16"/>
      <c r="F93" s="16"/>
    </row>
    <row r="94" spans="1:6" ht="57">
      <c r="A94" t="s">
        <v>292</v>
      </c>
      <c r="B94" s="16" t="str">
        <f>Table3[[#This Row],[Extracted Sentence (verbatim)]]</f>
        <v xml:space="preserve"> they have lack of  knowledge about health hygiene and treatment procedures, relying solely on traditional practices, but now they have received training and awareness from Christian missionaries and government organizations.</v>
      </c>
      <c r="C94" s="16" t="s">
        <v>606</v>
      </c>
      <c r="D94" s="16" t="s">
        <v>338</v>
      </c>
      <c r="E94" s="16" t="s">
        <v>607</v>
      </c>
      <c r="F94" s="16" t="s">
        <v>608</v>
      </c>
    </row>
    <row r="95" spans="1:6" ht="57">
      <c r="A95" t="s">
        <v>294</v>
      </c>
      <c r="B95" s="16" t="str">
        <f>Table3[[#This Row],[Extracted Sentence (verbatim)]]</f>
        <v>Another respondent mentioned that while a hospital is present in the community, the services provided are insufficient, and in case of emergencies, they go to Madhupur or Mymensingh or Tangail   for better treatment.</v>
      </c>
      <c r="D95" s="16"/>
      <c r="E95" s="16"/>
      <c r="F95" s="16"/>
    </row>
    <row r="96" spans="1:6" ht="42.75">
      <c r="A96" t="s">
        <v>296</v>
      </c>
      <c r="B96" s="16" t="str">
        <f>Table3[[#This Row],[Extracted Sentence (verbatim)]]</f>
        <v>The Garo community experiences various health issues because of their ignorance about proper hygiene, sanitation, and disease prevention</v>
      </c>
      <c r="C96" s="16" t="s">
        <v>609</v>
      </c>
      <c r="D96" s="16" t="s">
        <v>338</v>
      </c>
      <c r="E96" s="16" t="s">
        <v>610</v>
      </c>
      <c r="F96" s="16" t="s">
        <v>611</v>
      </c>
    </row>
    <row r="97" spans="1:6" ht="28.5">
      <c r="A97" t="s">
        <v>298</v>
      </c>
      <c r="B97" s="16" t="str">
        <f>Table3[[#This Row],[Extracted Sentence (verbatim)]]</f>
        <v>The Garos have been relying on nature and almost over 4000 years, jhum cultivation has been practiced.</v>
      </c>
      <c r="C97" s="16" t="s">
        <v>612</v>
      </c>
      <c r="D97" s="16" t="s">
        <v>495</v>
      </c>
      <c r="E97" s="16" t="s">
        <v>613</v>
      </c>
      <c r="F97" s="16" t="s">
        <v>614</v>
      </c>
    </row>
    <row r="98" spans="1:6" ht="42.75">
      <c r="A98" t="s">
        <v>302</v>
      </c>
      <c r="B98" s="16" t="str">
        <f>Table3[[#This Row],[Extracted Sentence (verbatim)]]</f>
        <v>However, in recent times, some members of their community have started engaging in professions other than farming, such as fishing, to earn a better living.</v>
      </c>
      <c r="C98" s="16" t="s">
        <v>615</v>
      </c>
      <c r="D98" s="16" t="s">
        <v>338</v>
      </c>
      <c r="E98" s="16" t="s">
        <v>616</v>
      </c>
      <c r="F98" s="16" t="s">
        <v>617</v>
      </c>
    </row>
    <row r="99" spans="1:6" ht="42.75">
      <c r="A99" t="s">
        <v>304</v>
      </c>
      <c r="B99" s="16" t="str">
        <f>Table3[[#This Row],[Extracted Sentence (verbatim)]]</f>
        <v>While farming remains the primary source of income for some families, others have diversified their sources of livelihood and are now engaged in teaching, employment, and business</v>
      </c>
      <c r="C99" s="16" t="s">
        <v>618</v>
      </c>
      <c r="D99" s="16" t="s">
        <v>351</v>
      </c>
      <c r="E99" s="16" t="s">
        <v>619</v>
      </c>
      <c r="F99" s="16" t="s">
        <v>620</v>
      </c>
    </row>
    <row r="100" spans="1:6" ht="42.75">
      <c r="A100" t="s">
        <v>306</v>
      </c>
      <c r="B100" s="16" t="str">
        <f>Table3[[#This Row],[Extracted Sentence (verbatim)]]</f>
        <v>Many people in the community have migrated to cities in quest of better-paying jobs, such as day labor and garment work, as they find it difficult to sustain their families on income from agriculture alone.</v>
      </c>
      <c r="C100" s="16" t="s">
        <v>621</v>
      </c>
      <c r="D100" s="16" t="s">
        <v>351</v>
      </c>
      <c r="E100" s="16" t="s">
        <v>622</v>
      </c>
      <c r="F100" s="16" t="s">
        <v>623</v>
      </c>
    </row>
    <row r="101" spans="1:6" ht="28.5">
      <c r="A101" t="s">
        <v>308</v>
      </c>
      <c r="B101" s="16" t="str">
        <f>Table3[[#This Row],[Extracted Sentence (verbatim)]]</f>
        <v>The primary occupation of Garo people is farming, which supports about more than 85% of the community.</v>
      </c>
      <c r="C101" s="16" t="s">
        <v>624</v>
      </c>
      <c r="D101" s="16" t="s">
        <v>351</v>
      </c>
      <c r="E101" s="16" t="s">
        <v>625</v>
      </c>
      <c r="F101" s="16" t="s">
        <v>626</v>
      </c>
    </row>
    <row r="102" spans="1:6" ht="57">
      <c r="A102" t="s">
        <v>310</v>
      </c>
      <c r="B102" s="16" t="str">
        <f>Table3[[#This Row],[Extracted Sentence (verbatim)]]</f>
        <v xml:space="preserve"> A respondent said, there has been increasing the  rural-urban migration in the Garo community, with people leaving to study, receive medical treatment, find jobs, and seek economic opportunities in the city.</v>
      </c>
      <c r="C102" s="16" t="s">
        <v>627</v>
      </c>
      <c r="D102" s="16" t="s">
        <v>338</v>
      </c>
      <c r="E102" s="16" t="s">
        <v>628</v>
      </c>
      <c r="F102" s="16" t="s">
        <v>629</v>
      </c>
    </row>
    <row r="103" spans="1:6" ht="42.75">
      <c r="A103" t="s">
        <v>312</v>
      </c>
      <c r="B103" s="16" t="str">
        <f>Table3[[#This Row],[Extracted Sentence (verbatim)]]</f>
        <v>Garo community traditionally follows a matrilineal system, which grants women significant authority, including ownership of land</v>
      </c>
      <c r="C103" s="16" t="s">
        <v>630</v>
      </c>
      <c r="D103" s="16" t="s">
        <v>338</v>
      </c>
      <c r="E103" s="16" t="s">
        <v>631</v>
      </c>
      <c r="F103" s="16" t="s">
        <v>632</v>
      </c>
    </row>
    <row r="104" spans="1:6" ht="28.5">
      <c r="A104" t="s">
        <v>316</v>
      </c>
      <c r="B104" s="16" t="str">
        <f>Table3[[#This Row],[Extracted Sentence (verbatim)]]</f>
        <v>the matrilineal system is declining, and land ownership is becoming more equally shared between women and men.</v>
      </c>
      <c r="C104" s="16" t="s">
        <v>633</v>
      </c>
      <c r="D104" s="16" t="s">
        <v>634</v>
      </c>
      <c r="E104" s="16" t="s">
        <v>635</v>
      </c>
      <c r="F104" s="16" t="s">
        <v>636</v>
      </c>
    </row>
    <row r="105" spans="1:6" ht="42.75">
      <c r="A105" t="s">
        <v>318</v>
      </c>
      <c r="B105" s="16" t="str">
        <f>Table3[[#This Row],[Extracted Sentence (verbatim)]]</f>
        <v xml:space="preserve">one respondent noted that the traditional ownership of  land by women has shifted, and both genders now have right to own land in their community. </v>
      </c>
      <c r="D105" s="16"/>
      <c r="E105" s="16"/>
      <c r="F105" s="16"/>
    </row>
    <row r="106" spans="1:6" ht="42.75">
      <c r="A106" t="s">
        <v>320</v>
      </c>
      <c r="B106" s="16" t="str">
        <f>Table3[[#This Row],[Extracted Sentence (verbatim)]]</f>
        <v>Another respondent shared that their wife owns four acres of land and that all family resources are under her ownership, even the family's house is in her name.</v>
      </c>
      <c r="D106" s="16"/>
      <c r="E106" s="16"/>
      <c r="F106" s="16"/>
    </row>
    <row r="107" spans="1:6" ht="57">
      <c r="A107" t="s">
        <v>322</v>
      </c>
      <c r="B107" s="16" t="str">
        <f>Table3[[#This Row],[Extracted Sentence (verbatim)]]</f>
        <v>Through my research, including interviews and observations, it has been determined that most Garo families once they owned land, but currently, only a small percentage (around 15-16%) have some form of land ownership.</v>
      </c>
      <c r="D107" s="16"/>
      <c r="E107" s="16"/>
      <c r="F107" s="16"/>
    </row>
    <row r="108" spans="1:6" ht="42.75">
      <c r="A108" t="s">
        <v>324</v>
      </c>
      <c r="B108" s="16" t="str">
        <f>Table3[[#This Row],[Extracted Sentence (verbatim)]]</f>
        <v>Despite advancements in technology, the Garo people still rely on subsistence economies, and approximately 85% are currently landless, even though they still indirectly involved in agriculture.</v>
      </c>
      <c r="D108" s="16"/>
      <c r="E108" s="16"/>
      <c r="F108" s="16"/>
    </row>
  </sheetData>
  <mergeCells count="2">
    <mergeCell ref="A1:F1"/>
    <mergeCell ref="A2:F2"/>
  </mergeCells>
  <phoneticPr fontId="10"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D3983-7DE1-4338-A481-FC6B359B82EB}">
  <dimension ref="A1:G108"/>
  <sheetViews>
    <sheetView workbookViewId="0">
      <selection activeCell="A2" sqref="A2:G2"/>
    </sheetView>
  </sheetViews>
  <sheetFormatPr defaultRowHeight="14.25"/>
  <cols>
    <col min="1" max="1" width="12.1328125" customWidth="1"/>
    <col min="2" max="2" width="17.1328125" style="16" customWidth="1"/>
    <col min="3" max="4" width="22.59765625" style="16" customWidth="1"/>
    <col min="5" max="5" width="46.3984375" bestFit="1" customWidth="1"/>
    <col min="6" max="6" width="77.3984375" bestFit="1" customWidth="1"/>
    <col min="7" max="7" width="19.265625" customWidth="1"/>
  </cols>
  <sheetData>
    <row r="1" spans="1:7">
      <c r="A1" s="32" t="s">
        <v>637</v>
      </c>
      <c r="B1" s="32"/>
      <c r="C1" s="32"/>
      <c r="D1" s="32"/>
      <c r="E1" s="32"/>
      <c r="F1" s="32"/>
      <c r="G1" s="32"/>
    </row>
    <row r="2" spans="1:7" ht="48" customHeight="1">
      <c r="A2" s="38" t="s">
        <v>638</v>
      </c>
      <c r="B2" s="38"/>
      <c r="C2" s="38"/>
      <c r="D2" s="38"/>
      <c r="E2" s="38"/>
      <c r="F2" s="38"/>
      <c r="G2" s="38"/>
    </row>
    <row r="3" spans="1:7">
      <c r="A3" t="s">
        <v>73</v>
      </c>
      <c r="B3" s="16" t="s">
        <v>639</v>
      </c>
      <c r="C3" s="16" t="s">
        <v>640</v>
      </c>
      <c r="D3" s="16" t="s">
        <v>335</v>
      </c>
      <c r="E3" t="s">
        <v>641</v>
      </c>
      <c r="F3" t="s">
        <v>642</v>
      </c>
      <c r="G3" t="s">
        <v>643</v>
      </c>
    </row>
    <row r="4" spans="1:7">
      <c r="A4" t="s">
        <v>77</v>
      </c>
      <c r="B4" s="16" t="str">
        <f>Table5[[#This Row],[Subject (Node A)]]</f>
        <v>GaroCommunity</v>
      </c>
      <c r="C4" s="16" t="str">
        <f>Table5[[#This Row],[Object (Node B)]]</f>
        <v>LargestMinorityTribes</v>
      </c>
      <c r="D4" s="16" t="str">
        <f>Table5[[#This Row],[Predicate]]</f>
        <v>is one of</v>
      </c>
      <c r="E4" t="s">
        <v>644</v>
      </c>
      <c r="F4" t="str">
        <f t="shared" ref="F4:F35" si="0">IF(B4="","","("&amp;B4&amp;")-["&amp;E4&amp;"]-&gt;("&amp;C4&amp;")")</f>
        <v>(GaroCommunity)-[IS_ONE_OF]-&gt;(LargestMinorityTribes)</v>
      </c>
      <c r="G4" t="s">
        <v>645</v>
      </c>
    </row>
    <row r="5" spans="1:7">
      <c r="A5" t="s">
        <v>81</v>
      </c>
      <c r="B5" s="16" t="str">
        <f>Table5[[#This Row],[Subject (Node A)]]</f>
        <v>GaroCommunity</v>
      </c>
      <c r="C5" s="16" t="str">
        <f>Table5[[#This Row],[Object (Node B)]]</f>
        <v>MultipleDistrics</v>
      </c>
      <c r="D5" s="16" t="str">
        <f>Table5[[#This Row],[Predicate]]</f>
        <v>resides in</v>
      </c>
      <c r="E5" t="s">
        <v>646</v>
      </c>
      <c r="F5" t="str">
        <f t="shared" si="0"/>
        <v>(GaroCommunity)-[RESIDES_IN]-&gt;(MultipleDistrics)</v>
      </c>
      <c r="G5" t="s">
        <v>645</v>
      </c>
    </row>
    <row r="6" spans="1:7">
      <c r="A6" t="s">
        <v>84</v>
      </c>
      <c r="B6" s="16" t="str">
        <f>Table5[[#This Row],[Subject (Node A)]]</f>
        <v>GaroCommunity</v>
      </c>
      <c r="C6" s="16" t="str">
        <f>Table5[[#This Row],[Object (Node B)]]</f>
        <v>Tibet, Burma</v>
      </c>
      <c r="D6" s="16" t="str">
        <f>Table5[[#This Row],[Predicate]]</f>
        <v>Migrated from</v>
      </c>
      <c r="E6" t="s">
        <v>647</v>
      </c>
      <c r="F6" t="str">
        <f t="shared" si="0"/>
        <v>(GaroCommunity)-[MIGRATED_FROM]-&gt;(Tibet, Burma)</v>
      </c>
      <c r="G6" t="s">
        <v>645</v>
      </c>
    </row>
    <row r="7" spans="1:7">
      <c r="A7" t="s">
        <v>87</v>
      </c>
      <c r="B7" s="16" t="str">
        <f>Table5[[#This Row],[Subject (Node A)]]</f>
        <v>GaroCommunity</v>
      </c>
      <c r="C7" s="16" t="str">
        <f>Table5[[#This Row],[Object (Node B)]]</f>
        <v>Agricultural</v>
      </c>
      <c r="D7" s="16" t="str">
        <f>Table5[[#This Row],[Predicate]]</f>
        <v>is primarily</v>
      </c>
      <c r="E7" t="s">
        <v>648</v>
      </c>
      <c r="F7" t="str">
        <f t="shared" si="0"/>
        <v>(GaroCommunity)-[IS_PRIMARILY]-&gt;(Agricultural)</v>
      </c>
      <c r="G7" t="s">
        <v>645</v>
      </c>
    </row>
    <row r="8" spans="1:7">
      <c r="A8" t="s">
        <v>90</v>
      </c>
      <c r="B8" s="16" t="str">
        <f>Table5[[#This Row],[Subject (Node A)]]</f>
        <v>GaroPeople</v>
      </c>
      <c r="C8" s="16" t="str">
        <f>Table5[[#This Row],[Object (Node B)]]</f>
        <v>Bengali</v>
      </c>
      <c r="D8" s="16" t="str">
        <f>Table5[[#This Row],[Predicate]]</f>
        <v>speaks</v>
      </c>
      <c r="E8" t="s">
        <v>649</v>
      </c>
      <c r="F8" t="str">
        <f t="shared" si="0"/>
        <v>(GaroPeople)-[SPEAKS]-&gt;(Bengali)</v>
      </c>
      <c r="G8" t="s">
        <v>645</v>
      </c>
    </row>
    <row r="9" spans="1:7">
      <c r="A9" t="s">
        <v>93</v>
      </c>
      <c r="B9" s="16" t="str">
        <f>Table5[[#This Row],[Subject (Node A)]]</f>
        <v>GaroSociety</v>
      </c>
      <c r="C9" s="16" t="str">
        <f>Table5[[#This Row],[Object (Node B)]]</f>
        <v>MatriarchalSystem</v>
      </c>
      <c r="D9" s="16" t="str">
        <f>Table5[[#This Row],[Predicate]]</f>
        <v>follow</v>
      </c>
      <c r="E9" t="s">
        <v>650</v>
      </c>
      <c r="F9" t="str">
        <f t="shared" si="0"/>
        <v>(GaroSociety)-[FOLAmbiguousS]-&gt;(MatriarchalSystem)</v>
      </c>
      <c r="G9" t="s">
        <v>645</v>
      </c>
    </row>
    <row r="10" spans="1:7">
      <c r="A10" t="s">
        <v>97</v>
      </c>
      <c r="B10" s="16" t="str">
        <f>Table5[[#This Row],[Subject (Node A)]]</f>
        <v>GaroWomen</v>
      </c>
      <c r="C10" s="16" t="str">
        <f>Table5[[#This Row],[Object (Node B)]]</f>
        <v>Inheritance</v>
      </c>
      <c r="D10" s="16" t="str">
        <f>Table5[[#This Row],[Predicate]]</f>
        <v>receive</v>
      </c>
      <c r="E10" t="s">
        <v>651</v>
      </c>
      <c r="F10" t="str">
        <f t="shared" si="0"/>
        <v>(GaroWomen)-[RECEIVE]-&gt;(Inheritance)</v>
      </c>
      <c r="G10" t="s">
        <v>645</v>
      </c>
    </row>
    <row r="11" spans="1:7">
      <c r="A11" t="s">
        <v>100</v>
      </c>
      <c r="B11" s="16" t="str">
        <f>Table5[[#This Row],[Subject (Node A)]]</f>
        <v>GaroCulture</v>
      </c>
      <c r="C11" s="16" t="str">
        <f>Table5[[#This Row],[Object (Node B)]]</f>
        <v>SupernaturalBeliefs</v>
      </c>
      <c r="D11" s="16" t="str">
        <f>Table5[[#This Row],[Predicate]]</f>
        <v>includes</v>
      </c>
      <c r="E11" t="s">
        <v>652</v>
      </c>
      <c r="F11" t="str">
        <f t="shared" si="0"/>
        <v>(GaroCulture)-[INCLUDES]-&gt;(SupernaturalBeliefs)</v>
      </c>
      <c r="G11" t="s">
        <v>645</v>
      </c>
    </row>
    <row r="12" spans="1:7">
      <c r="A12" t="s">
        <v>103</v>
      </c>
      <c r="B12" s="16" t="str">
        <f>Table5[[#This Row],[Subject (Node A)]]</f>
        <v>GaroCommunity</v>
      </c>
      <c r="C12" s="16" t="str">
        <f>Table5[[#This Row],[Object (Node B)]]</f>
        <v>RitaulsAndCustoms</v>
      </c>
      <c r="D12" s="16" t="str">
        <f>Table5[[#This Row],[Predicate]]</f>
        <v>practices</v>
      </c>
      <c r="E12" t="s">
        <v>653</v>
      </c>
      <c r="F12" t="str">
        <f t="shared" si="0"/>
        <v>(GaroCommunity)-[PRACTICES]-&gt;(RitaulsAndCustoms)</v>
      </c>
      <c r="G12" t="s">
        <v>645</v>
      </c>
    </row>
    <row r="13" spans="1:7">
      <c r="A13" t="s">
        <v>106</v>
      </c>
      <c r="B13" s="16" t="str">
        <f>Table5[[#This Row],[Subject (Node A)]]</f>
        <v>GaroCommunity</v>
      </c>
      <c r="C13" s="16" t="str">
        <f>Table5[[#This Row],[Object (Node B)]]</f>
        <v>Agriculture</v>
      </c>
      <c r="D13" s="16" t="str">
        <f>Table5[[#This Row],[Predicate]]</f>
        <v>main livelihood is</v>
      </c>
      <c r="E13" t="s">
        <v>654</v>
      </c>
      <c r="F13" t="str">
        <f t="shared" si="0"/>
        <v>(GaroCommunity)-[MAIN_LIVELIHOOD_IS]-&gt;(Agriculture)</v>
      </c>
      <c r="G13" t="s">
        <v>655</v>
      </c>
    </row>
    <row r="14" spans="1:7">
      <c r="A14" t="s">
        <v>108</v>
      </c>
      <c r="B14" s="16" t="str">
        <f>Table5[[#This Row],[Subject (Node A)]]</f>
        <v>GaroCommunity</v>
      </c>
      <c r="C14" s="16" t="str">
        <f>Table5[[#This Row],[Object (Node B)]]</f>
        <v>LargestMinorityGroups</v>
      </c>
      <c r="D14" s="16" t="str">
        <f>Table5[[#This Row],[Predicate]]</f>
        <v>is</v>
      </c>
      <c r="E14" t="s">
        <v>656</v>
      </c>
      <c r="F14" t="str">
        <f t="shared" si="0"/>
        <v>(GaroCommunity)-[IS]-&gt;(LargestMinorityGroups)</v>
      </c>
      <c r="G14" t="s">
        <v>655</v>
      </c>
    </row>
    <row r="15" spans="1:7">
      <c r="A15" t="s">
        <v>112</v>
      </c>
      <c r="B15" s="16" t="str">
        <f>Table5[[#This Row],[Subject (Node A)]]</f>
        <v>GaroCommunity</v>
      </c>
      <c r="C15" s="16" t="str">
        <f>Table5[[#This Row],[Object (Node B)]]</f>
        <v>MeghalayaBangladesh</v>
      </c>
      <c r="D15" s="16" t="str">
        <f>Table5[[#This Row],[Predicate]]</f>
        <v>migrated to</v>
      </c>
      <c r="E15" t="s">
        <v>657</v>
      </c>
      <c r="F15" t="str">
        <f t="shared" si="0"/>
        <v>(GaroCommunity)-[MIGRATED_TO]-&gt;(MeghalayaBangladesh)</v>
      </c>
      <c r="G15" t="s">
        <v>655</v>
      </c>
    </row>
    <row r="16" spans="1:7">
      <c r="A16" t="s">
        <v>114</v>
      </c>
      <c r="B16" s="16" t="str">
        <f>Table5[[#This Row],[Subject (Node A)]]</f>
        <v>GaroCommunity</v>
      </c>
      <c r="C16" s="16" t="str">
        <f>Table5[[#This Row],[Object (Node B)]]</f>
        <v>BritishColonialRule</v>
      </c>
      <c r="D16" s="16" t="str">
        <f>Table5[[#This Row],[Predicate]]</f>
        <v>was isolated before</v>
      </c>
      <c r="E16" t="s">
        <v>658</v>
      </c>
      <c r="F16" t="str">
        <f t="shared" si="0"/>
        <v>(GaroCommunity)-[WAS_ISOLATED_BEFORE]-&gt;(BritishColonialRule)</v>
      </c>
      <c r="G16" t="s">
        <v>659</v>
      </c>
    </row>
    <row r="17" spans="1:7">
      <c r="A17" t="s">
        <v>116</v>
      </c>
      <c r="B17" s="16" t="str">
        <f>Table5[[#This Row],[Subject (Node A)]]</f>
        <v>GaroSubtribe</v>
      </c>
      <c r="C17" s="16" t="str">
        <f>Table5[[#This Row],[Object (Node B)]]</f>
        <v>Garo</v>
      </c>
      <c r="D17" s="16" t="str">
        <f>Table5[[#This Row],[Predicate]]</f>
        <v>first received name</v>
      </c>
      <c r="E17" t="s">
        <v>660</v>
      </c>
      <c r="F17" t="str">
        <f t="shared" si="0"/>
        <v>(GaroSubtribe)-[FIRST_RECEIVED_NAME]-&gt;(Garo)</v>
      </c>
      <c r="G17" t="s">
        <v>661</v>
      </c>
    </row>
    <row r="18" spans="1:7">
      <c r="A18" t="s">
        <v>120</v>
      </c>
      <c r="B18" s="16" t="str">
        <f>Table5[[#This Row],[Subject (Node A)]]</f>
        <v>GaroSubgroups</v>
      </c>
      <c r="C18" s="16" t="str">
        <f>Table5[[#This Row],[Object (Node B)]]</f>
        <v>Origin</v>
      </c>
      <c r="D18" s="16" t="str">
        <f>Table5[[#This Row],[Predicate]]</f>
        <v>share</v>
      </c>
      <c r="E18" t="s">
        <v>662</v>
      </c>
      <c r="F18" t="str">
        <f t="shared" si="0"/>
        <v>(GaroSubgroups)-[SHARE]-&gt;(Origin)</v>
      </c>
      <c r="G18" t="s">
        <v>663</v>
      </c>
    </row>
    <row r="19" spans="1:7">
      <c r="A19" t="s">
        <v>122</v>
      </c>
      <c r="B19" s="16" t="str">
        <f>Table5[[#This Row],[Subject (Node A)]]</f>
        <v>BangaliLanguage</v>
      </c>
      <c r="C19" s="16" t="str">
        <f>Table5[[#This Row],[Object (Node B)]]</f>
        <v>MandiLanguage</v>
      </c>
      <c r="D19" s="16" t="str">
        <f>Table5[[#This Row],[Predicate]]</f>
        <v>influence on</v>
      </c>
      <c r="E19" t="s">
        <v>664</v>
      </c>
      <c r="F19" t="str">
        <f t="shared" si="0"/>
        <v>(BangaliLanguage)-[INFLUENCE_ON]-&gt;(MandiLanguage)</v>
      </c>
      <c r="G19" t="s">
        <v>655</v>
      </c>
    </row>
    <row r="20" spans="1:7">
      <c r="A20" t="s">
        <v>124</v>
      </c>
      <c r="B20" s="16" t="str">
        <f>Table5[[#This Row],[Subject (Node A)]]</f>
        <v>GaroPeople</v>
      </c>
      <c r="C20" s="16" t="str">
        <f>Table5[[#This Row],[Object (Node B)]]</f>
        <v>SpecificOrigins</v>
      </c>
      <c r="D20" s="16" t="str">
        <f>Table5[[#This Row],[Predicate]]</f>
        <v>uncertain knowledge of</v>
      </c>
      <c r="E20" t="s">
        <v>665</v>
      </c>
      <c r="F20" t="str">
        <f t="shared" si="0"/>
        <v>(GaroPeople)-[UNCERTAIN_KNOWLEDGE_OF]-&gt;(SpecificOrigins)</v>
      </c>
      <c r="G20" t="s">
        <v>663</v>
      </c>
    </row>
    <row r="21" spans="1:7">
      <c r="A21" t="s">
        <v>126</v>
      </c>
      <c r="B21" s="16" t="str">
        <f>Table5[[#This Row],[Subject (Node A)]]</f>
        <v>GaroEducation</v>
      </c>
      <c r="C21" s="16" t="str">
        <f>Table5[[#This Row],[Object (Node B)]]</f>
        <v>AgeUncertainty</v>
      </c>
      <c r="D21" s="16" t="str">
        <f>Table5[[#This Row],[Predicate]]</f>
        <v>results in</v>
      </c>
      <c r="E21" t="s">
        <v>666</v>
      </c>
      <c r="F21" t="str">
        <f t="shared" si="0"/>
        <v>(GaroEducation)-[RESULTS_IN]-&gt;(AgeUncertainty)</v>
      </c>
      <c r="G21" t="s">
        <v>663</v>
      </c>
    </row>
    <row r="22" spans="1:7">
      <c r="A22" t="s">
        <v>130</v>
      </c>
      <c r="B22" s="16" t="str">
        <f>Table5[[#This Row],[Subject (Node A)]]</f>
        <v>GaroEducation</v>
      </c>
      <c r="C22" s="16" t="str">
        <f>Table5[[#This Row],[Object (Node B)]]</f>
        <v>Illiteracy</v>
      </c>
      <c r="D22" s="16" t="str">
        <f>Table5[[#This Row],[Predicate]]</f>
        <v>results in</v>
      </c>
      <c r="E22" t="s">
        <v>666</v>
      </c>
      <c r="F22" t="str">
        <f t="shared" si="0"/>
        <v>(GaroEducation)-[RESULTS_IN]-&gt;(Illiteracy)</v>
      </c>
      <c r="G22" t="s">
        <v>655</v>
      </c>
    </row>
    <row r="23" spans="1:7">
      <c r="A23" t="s">
        <v>133</v>
      </c>
      <c r="B23" s="16" t="str">
        <f>Table5[[#This Row],[Subject (Node A)]]</f>
        <v>GaroOccupation</v>
      </c>
      <c r="C23" s="16" t="str">
        <f>Table5[[#This Row],[Object (Node B)]]</f>
        <v>Agriculture</v>
      </c>
      <c r="D23" s="16" t="str">
        <f>Table5[[#This Row],[Predicate]]</f>
        <v>is mostly</v>
      </c>
      <c r="E23" t="s">
        <v>667</v>
      </c>
      <c r="F23" t="str">
        <f t="shared" si="0"/>
        <v>(GaroOccupation)-[IS_MOSTLY]-&gt;(Agriculture)</v>
      </c>
      <c r="G23" t="s">
        <v>645</v>
      </c>
    </row>
    <row r="24" spans="1:7">
      <c r="A24" t="s">
        <v>136</v>
      </c>
      <c r="B24" s="16" t="str">
        <f>Table5[[#This Row],[Subject (Node A)]]</f>
        <v>GaroPeople</v>
      </c>
      <c r="C24" s="16" t="str">
        <f>Table5[[#This Row],[Object (Node B)]]</f>
        <v>Illiteracy</v>
      </c>
      <c r="D24" s="16" t="str">
        <f>Table5[[#This Row],[Predicate]]</f>
        <v>have high rates of</v>
      </c>
      <c r="E24" t="s">
        <v>668</v>
      </c>
      <c r="F24" t="str">
        <f t="shared" si="0"/>
        <v>(GaroPeople)-[HAVE_Clear_RATES_OF]-&gt;(Illiteracy)</v>
      </c>
      <c r="G24" t="s">
        <v>655</v>
      </c>
    </row>
    <row r="25" spans="1:7">
      <c r="A25" t="s">
        <v>138</v>
      </c>
      <c r="B25" s="16" t="str">
        <f>Table5[[#This Row],[Subject (Node A)]]</f>
        <v>GaroLivelihood</v>
      </c>
      <c r="C25" s="16" t="str">
        <f>Table5[[#This Row],[Object (Node B)]]</f>
        <v>Life</v>
      </c>
      <c r="D25" s="16" t="str">
        <f>Table5[[#This Row],[Predicate]]</f>
        <v>low ability to sustain their</v>
      </c>
      <c r="E25" t="s">
        <v>669</v>
      </c>
      <c r="F25" t="str">
        <f t="shared" si="0"/>
        <v>(GaroLivelihood)-[Ambiguous_ABILITY_TO_SUSTAIN_THEIR]-&gt;(Life)</v>
      </c>
      <c r="G25" t="s">
        <v>659</v>
      </c>
    </row>
    <row r="26" spans="1:7">
      <c r="A26" t="s">
        <v>141</v>
      </c>
      <c r="B26" s="16" t="str">
        <f>Table5[[#This Row],[Subject (Node A)]]</f>
        <v>GaroEducation</v>
      </c>
      <c r="C26" s="16" t="str">
        <f>Table5[[#This Row],[Object (Node B)]]</f>
        <v>FamilyPlanning</v>
      </c>
      <c r="D26" s="16" t="str">
        <f>Table5[[#This Row],[Predicate]]</f>
        <v>lack of</v>
      </c>
      <c r="E26" t="s">
        <v>670</v>
      </c>
      <c r="F26" t="str">
        <f t="shared" si="0"/>
        <v>(GaroEducation)-[LACK_OF]-&gt;(FamilyPlanning)</v>
      </c>
      <c r="G26" t="s">
        <v>663</v>
      </c>
    </row>
    <row r="27" spans="1:7" ht="28.5">
      <c r="A27" t="s">
        <v>143</v>
      </c>
      <c r="B27" s="16" t="str">
        <f>Table5[[#This Row],[Subject (Node A)]]</f>
        <v>GaroMen</v>
      </c>
      <c r="C27" s="16" t="str">
        <f>Table5[[#This Row],[Object (Node B)]]</f>
        <v>Lungis, Genjis, Trousers, Shirts</v>
      </c>
      <c r="D27" s="16" t="str">
        <f>Table5[[#This Row],[Predicate]]</f>
        <v>wear</v>
      </c>
      <c r="E27" t="s">
        <v>671</v>
      </c>
      <c r="F27" t="str">
        <f t="shared" si="0"/>
        <v>(GaroMen)-[WEARS]-&gt;(Lungis, Genjis, Trousers, Shirts)</v>
      </c>
      <c r="G27" t="s">
        <v>655</v>
      </c>
    </row>
    <row r="28" spans="1:7">
      <c r="A28" t="s">
        <v>147</v>
      </c>
      <c r="B28" s="16" t="str">
        <f>Table5[[#This Row],[Subject (Node A)]]</f>
        <v>GaroMen</v>
      </c>
      <c r="C28" s="16" t="str">
        <f>Table5[[#This Row],[Object (Node B)]]</f>
        <v>ColourfulTowel</v>
      </c>
      <c r="D28" s="16" t="str">
        <f>Table5[[#This Row],[Predicate]]</f>
        <v xml:space="preserve">Wrap a </v>
      </c>
      <c r="E28" t="s">
        <v>672</v>
      </c>
      <c r="F28" t="str">
        <f t="shared" si="0"/>
        <v>(GaroMen)-[WRAP_A]-&gt;(ColourfulTowel)</v>
      </c>
      <c r="G28" t="s">
        <v>663</v>
      </c>
    </row>
    <row r="29" spans="1:7" ht="42.75">
      <c r="A29" t="s">
        <v>149</v>
      </c>
      <c r="B29" s="16" t="str">
        <f>Table5[[#This Row],[Subject (Node A)]]</f>
        <v>GaroWomen</v>
      </c>
      <c r="C29" s="16" t="str">
        <f>Table5[[#This Row],[Object (Node B)]]</f>
        <v>orna, sarees, blouses, kamij, petticoats, salwars, TraditionalCostumes</v>
      </c>
      <c r="D29" s="16" t="str">
        <f>Table5[[#This Row],[Predicate]]</f>
        <v>wear</v>
      </c>
      <c r="E29" t="s">
        <v>671</v>
      </c>
      <c r="F29" t="str">
        <f t="shared" si="0"/>
        <v>(GaroWomen)-[WEARS]-&gt;(orna, sarees, blouses, kamij, petticoats, salwars, TraditionalCostumes)</v>
      </c>
      <c r="G29" t="s">
        <v>645</v>
      </c>
    </row>
    <row r="30" spans="1:7">
      <c r="A30" t="s">
        <v>151</v>
      </c>
      <c r="B30" s="16" t="str">
        <f>Table5[[#This Row],[Subject (Node A)]]</f>
        <v>GaroMen</v>
      </c>
      <c r="C30" s="16" t="str">
        <f>Table5[[#This Row],[Object (Node B)]]</f>
        <v>HalfPants, Shirts</v>
      </c>
      <c r="D30" s="16" t="str">
        <f>Table5[[#This Row],[Predicate]]</f>
        <v>wear</v>
      </c>
      <c r="E30" t="s">
        <v>671</v>
      </c>
      <c r="F30" t="str">
        <f t="shared" si="0"/>
        <v>(GaroMen)-[WEARS]-&gt;(HalfPants, Shirts)</v>
      </c>
      <c r="G30" t="s">
        <v>663</v>
      </c>
    </row>
    <row r="31" spans="1:7">
      <c r="A31" t="s">
        <v>153</v>
      </c>
      <c r="B31" s="16" t="str">
        <f>Table5[[#This Row],[Subject (Node A)]]</f>
        <v>GaroWomen</v>
      </c>
      <c r="C31" s="16" t="str">
        <f>Table5[[#This Row],[Object (Node B)]]</f>
        <v>SilverJewelry</v>
      </c>
      <c r="D31" s="16" t="str">
        <f>Table5[[#This Row],[Predicate]]</f>
        <v xml:space="preserve">traditionally wore </v>
      </c>
      <c r="E31" t="s">
        <v>673</v>
      </c>
      <c r="F31" t="str">
        <f t="shared" si="0"/>
        <v>(GaroWomen)-[TRADITIONALLY_WORE]-&gt;(SilverJewelry)</v>
      </c>
      <c r="G31" t="s">
        <v>645</v>
      </c>
    </row>
    <row r="32" spans="1:7">
      <c r="A32" t="s">
        <v>155</v>
      </c>
      <c r="B32" s="16" t="str">
        <f>Table5[[#This Row],[Subject (Node A)]]</f>
        <v>GaroAttire</v>
      </c>
      <c r="C32" s="16" t="str">
        <f>Table5[[#This Row],[Object (Node B)]]</f>
        <v>Dakmanda, Daksari, Gandu</v>
      </c>
      <c r="D32" s="16" t="str">
        <f>Table5[[#This Row],[Predicate]]</f>
        <v xml:space="preserve">consists of </v>
      </c>
      <c r="E32" t="s">
        <v>674</v>
      </c>
      <c r="F32" t="str">
        <f t="shared" si="0"/>
        <v>(GaroAttire)-[CONSISTS_OF]-&gt;(Dakmanda, Daksari, Gandu)</v>
      </c>
      <c r="G32" t="s">
        <v>663</v>
      </c>
    </row>
    <row r="33" spans="1:7">
      <c r="A33" t="s">
        <v>157</v>
      </c>
      <c r="B33" s="16">
        <f>Table5[[#This Row],[Subject (Node A)]]</f>
        <v>0</v>
      </c>
      <c r="C33" s="16">
        <f>Table5[[#This Row],[Object (Node B)]]</f>
        <v>0</v>
      </c>
      <c r="D33" s="16">
        <f>Table5[[#This Row],[Predicate]]</f>
        <v>0</v>
      </c>
      <c r="F33" t="str">
        <f t="shared" si="0"/>
        <v>(0)-[]-&gt;(0)</v>
      </c>
    </row>
    <row r="34" spans="1:7" ht="28.5">
      <c r="A34" t="s">
        <v>159</v>
      </c>
      <c r="B34" s="16" t="str">
        <f>Table5[[#This Row],[Subject (Node A)]]</f>
        <v>GaroAttire</v>
      </c>
      <c r="C34" s="16" t="str">
        <f>Table5[[#This Row],[Object (Node B)]]</f>
        <v>Gando, Katib, Salchak, Marang, Unpon, Riking</v>
      </c>
      <c r="D34" s="16" t="str">
        <f>Table5[[#This Row],[Predicate]]</f>
        <v>has</v>
      </c>
      <c r="E34" t="s">
        <v>675</v>
      </c>
      <c r="F34" t="str">
        <f>IF(B34="","","("&amp;B34&amp;")-["&amp;E34&amp;"]-&gt;("&amp;C34&amp;")")</f>
        <v>(GaroAttire)-[HAS]-&gt;(Gando, Katib, Salchak, Marang, Unpon, Riking)</v>
      </c>
      <c r="G34" t="s">
        <v>663</v>
      </c>
    </row>
    <row r="35" spans="1:7">
      <c r="A35" t="s">
        <v>161</v>
      </c>
      <c r="B35" s="16" t="str">
        <f>Table5[[#This Row],[Subject (Node A)]]</f>
        <v>GaroPeople</v>
      </c>
      <c r="C35" s="16" t="str">
        <f>Table5[[#This Row],[Object (Node B)]]</f>
        <v>Rice</v>
      </c>
      <c r="D35" s="16" t="str">
        <f>Table5[[#This Row],[Predicate]]</f>
        <v>primary food is</v>
      </c>
      <c r="E35" t="s">
        <v>676</v>
      </c>
      <c r="F35" t="str">
        <f t="shared" si="0"/>
        <v>(GaroPeople)-[PRIMARY_FOOD_IS]-&gt;(Rice)</v>
      </c>
      <c r="G35" t="s">
        <v>655</v>
      </c>
    </row>
    <row r="36" spans="1:7">
      <c r="A36" t="s">
        <v>165</v>
      </c>
      <c r="B36" s="16" t="str">
        <f>Table5[[#This Row],[Subject (Node A)]]</f>
        <v>GaroPeople</v>
      </c>
      <c r="C36" s="16" t="str">
        <f>Table5[[#This Row],[Object (Node B)]]</f>
        <v>GreenChilli, Curry</v>
      </c>
      <c r="D36" s="16" t="str">
        <f>Table5[[#This Row],[Predicate]]</f>
        <v xml:space="preserve">a lot of </v>
      </c>
      <c r="E36" t="s">
        <v>677</v>
      </c>
      <c r="F36" t="str">
        <f t="shared" ref="F36:F67" si="1">IF(B36="","","("&amp;B36&amp;")-["&amp;E36&amp;"]-&gt;("&amp;C36&amp;")")</f>
        <v>(GaroPeople)-[A_LOT_OF]-&gt;(GreenChilli, Curry)</v>
      </c>
      <c r="G36" t="s">
        <v>659</v>
      </c>
    </row>
    <row r="37" spans="1:7">
      <c r="A37" t="s">
        <v>167</v>
      </c>
      <c r="B37" s="16" t="str">
        <f>Table5[[#This Row],[Subject (Node A)]]</f>
        <v>GaroPeople</v>
      </c>
      <c r="C37" s="16" t="str">
        <f>Table5[[#This Row],[Object (Node B)]]</f>
        <v>Bengali</v>
      </c>
      <c r="D37" s="16" t="str">
        <f>Table5[[#This Row],[Predicate]]</f>
        <v>have adopted food habits</v>
      </c>
      <c r="E37" t="s">
        <v>678</v>
      </c>
      <c r="F37" t="str">
        <f t="shared" si="1"/>
        <v>(GaroPeople)-[HAVE_ADOPTED_FOOD_HABITS]-&gt;(Bengali)</v>
      </c>
      <c r="G37" t="s">
        <v>679</v>
      </c>
    </row>
    <row r="38" spans="1:7" ht="28.5">
      <c r="A38" t="s">
        <v>169</v>
      </c>
      <c r="B38" s="16" t="str">
        <f>Table5[[#This Row],[Subject (Node A)]]</f>
        <v>GaroPeople</v>
      </c>
      <c r="C38" s="16" t="str">
        <f>Table5[[#This Row],[Object (Node B)]]</f>
        <v>Liquor, BambooShoots, Port, Mushrooms, Turtle</v>
      </c>
      <c r="D38" s="16" t="str">
        <f>Table5[[#This Row],[Predicate]]</f>
        <v>has fondness for</v>
      </c>
      <c r="E38" t="s">
        <v>680</v>
      </c>
      <c r="F38" t="str">
        <f t="shared" si="1"/>
        <v>(GaroPeople)-[HAS_FONDNESS_FOR]-&gt;(Liquor, BambooShoots, Port, Mushrooms, Turtle)</v>
      </c>
      <c r="G38" t="s">
        <v>655</v>
      </c>
    </row>
    <row r="39" spans="1:7">
      <c r="A39" t="s">
        <v>171</v>
      </c>
      <c r="B39" s="16" t="str">
        <f>Table5[[#This Row],[Subject (Node A)]]</f>
        <v>GaroPeople</v>
      </c>
      <c r="C39" s="16" t="str">
        <f>Table5[[#This Row],[Object (Node B)]]</f>
        <v>HealthyFoods</v>
      </c>
      <c r="D39" s="16" t="str">
        <f>Table5[[#This Row],[Predicate]]</f>
        <v xml:space="preserve">prefer </v>
      </c>
      <c r="E39" t="s">
        <v>681</v>
      </c>
      <c r="F39" t="str">
        <f t="shared" si="1"/>
        <v>(GaroPeople)-[PREFERS]-&gt;(HealthyFoods)</v>
      </c>
      <c r="G39" t="s">
        <v>645</v>
      </c>
    </row>
    <row r="40" spans="1:7">
      <c r="A40" t="s">
        <v>173</v>
      </c>
      <c r="B40" s="16" t="str">
        <f>Table5[[#This Row],[Subject (Node A)]]</f>
        <v>GaroCommunity</v>
      </c>
      <c r="C40" s="16" t="str">
        <f>Table5[[#This Row],[Object (Node B)]]</f>
        <v>Younger</v>
      </c>
      <c r="D40" s="16" t="str">
        <f>Table5[[#This Row],[Predicate]]</f>
        <v>used to</v>
      </c>
      <c r="E40" t="s">
        <v>682</v>
      </c>
      <c r="F40" t="str">
        <f t="shared" si="1"/>
        <v>(GaroCommunity)-[USED_TO]-&gt;(Younger)</v>
      </c>
      <c r="G40" t="s">
        <v>661</v>
      </c>
    </row>
    <row r="41" spans="1:7">
      <c r="A41" t="s">
        <v>175</v>
      </c>
      <c r="B41" s="16" t="str">
        <f>Table5[[#This Row],[Subject (Node A)]]</f>
        <v>GaroFood</v>
      </c>
      <c r="C41" s="16" t="str">
        <f>Table5[[#This Row],[Object (Node B)]]</f>
        <v>LocalPopulation</v>
      </c>
      <c r="D41" s="16" t="str">
        <f>Table5[[#This Row],[Predicate]]</f>
        <v>has evolved</v>
      </c>
      <c r="E41" t="s">
        <v>683</v>
      </c>
      <c r="F41" t="str">
        <f t="shared" si="1"/>
        <v>(GaroFood)-[HAS_EVOLVED]-&gt;(LocalPopulation)</v>
      </c>
      <c r="G41" t="s">
        <v>679</v>
      </c>
    </row>
    <row r="42" spans="1:7">
      <c r="A42" t="s">
        <v>177</v>
      </c>
      <c r="B42" s="16" t="str">
        <f>Table5[[#This Row],[Subject (Node A)]]</f>
        <v>GaroCommunity</v>
      </c>
      <c r="C42" s="16" t="str">
        <f>Table5[[#This Row],[Object (Node B)]]</f>
        <v>ChristianValues</v>
      </c>
      <c r="D42" s="16" t="str">
        <f>Table5[[#This Row],[Predicate]]</f>
        <v>no longer drinks alcohol</v>
      </c>
      <c r="E42" t="s">
        <v>684</v>
      </c>
      <c r="F42" t="str">
        <f t="shared" si="1"/>
        <v>(GaroCommunity)-[NO_LONGER_DRINKS_ALCOHOL]-&gt;(ChristianValues)</v>
      </c>
      <c r="G42" t="s">
        <v>663</v>
      </c>
    </row>
    <row r="43" spans="1:7" ht="28.5">
      <c r="A43" t="s">
        <v>180</v>
      </c>
      <c r="B43" s="16" t="str">
        <f>Table5[[#This Row],[Subject (Node A)]]</f>
        <v>GaroCommunity</v>
      </c>
      <c r="C43" s="16" t="str">
        <f>Table5[[#This Row],[Object (Node B)]]</f>
        <v>DriedFish, Pork, Rabbit, Chicken</v>
      </c>
      <c r="D43" s="16" t="str">
        <f>Table5[[#This Row],[Predicate]]</f>
        <v xml:space="preserve"> favourite dishes include </v>
      </c>
      <c r="E43" t="s">
        <v>685</v>
      </c>
      <c r="F43" t="str">
        <f t="shared" si="1"/>
        <v>(GaroCommunity)-[FAVOURITE_DISHES_INCLUDE]-&gt;(DriedFish, Pork, Rabbit, Chicken)</v>
      </c>
      <c r="G43" t="s">
        <v>645</v>
      </c>
    </row>
    <row r="44" spans="1:7">
      <c r="A44" t="s">
        <v>182</v>
      </c>
      <c r="B44" s="16" t="str">
        <f>Table5[[#This Row],[Subject (Node A)]]</f>
        <v>Chu</v>
      </c>
      <c r="C44" s="16" t="str">
        <f>Table5[[#This Row],[Object (Node B)]]</f>
        <v>Program, Event</v>
      </c>
      <c r="D44" s="16" t="str">
        <f>Table5[[#This Row],[Predicate]]</f>
        <v>is an important part of</v>
      </c>
      <c r="E44" t="s">
        <v>686</v>
      </c>
      <c r="F44" t="str">
        <f t="shared" si="1"/>
        <v>(Chu)-[IS_AN_IMPORTANT_PART_OF]-&gt;(Program, Event)</v>
      </c>
      <c r="G44" t="s">
        <v>663</v>
      </c>
    </row>
    <row r="45" spans="1:7">
      <c r="A45" t="s">
        <v>184</v>
      </c>
      <c r="B45" s="16" t="str">
        <f>Table5[[#This Row],[Subject (Node A)]]</f>
        <v>GaroHouses</v>
      </c>
      <c r="C45" s="16" t="str">
        <f>Table5[[#This Row],[Object (Node B)]]</f>
        <v>Simple</v>
      </c>
      <c r="D45" s="16" t="str">
        <f>Table5[[#This Row],[Predicate]]</f>
        <v>are</v>
      </c>
      <c r="E45" t="s">
        <v>687</v>
      </c>
      <c r="F45" t="str">
        <f t="shared" si="1"/>
        <v>(GaroHouses)-[ARE]-&gt;(Simple)</v>
      </c>
      <c r="G45" t="s">
        <v>663</v>
      </c>
    </row>
    <row r="46" spans="1:7" ht="28.5">
      <c r="A46" t="s">
        <v>188</v>
      </c>
      <c r="B46" s="16" t="str">
        <f>Table5[[#This Row],[Subject (Node A)]]</f>
        <v>GaroHousehold</v>
      </c>
      <c r="C46" s="16" t="str">
        <f>Table5[[#This Row],[Object (Node B)]]</f>
        <v>Chairs, Tables, Stools, Wardrobes, SteelAlmirahs</v>
      </c>
      <c r="D46" s="16" t="str">
        <f>Table5[[#This Row],[Predicate]]</f>
        <v>have wooden</v>
      </c>
      <c r="E46" t="s">
        <v>688</v>
      </c>
      <c r="F46" t="str">
        <f t="shared" si="1"/>
        <v>(GaroHousehold)-[HAVE_WOODEN]-&gt;(Chairs, Tables, Stools, Wardrobes, SteelAlmirahs)</v>
      </c>
      <c r="G46" t="s">
        <v>663</v>
      </c>
    </row>
    <row r="47" spans="1:7" ht="28.5">
      <c r="A47" t="s">
        <v>190</v>
      </c>
      <c r="B47" s="16" t="str">
        <f>Table5[[#This Row],[Subject (Node A)]]</f>
        <v>GaroHousehold</v>
      </c>
      <c r="C47" s="16" t="str">
        <f>Table5[[#This Row],[Object (Node B)]]</f>
        <v>Metal</v>
      </c>
      <c r="D47" s="16" t="str">
        <f>Table5[[#This Row],[Predicate]]</f>
        <v>evolved from earthenware to</v>
      </c>
      <c r="E47" t="s">
        <v>689</v>
      </c>
      <c r="F47" t="str">
        <f t="shared" si="1"/>
        <v>(GaroHousehold)-[EVOLVED_FROM_EARTHENWARE_TO]-&gt;(Metal)</v>
      </c>
      <c r="G47" t="s">
        <v>655</v>
      </c>
    </row>
    <row r="48" spans="1:7">
      <c r="A48" t="s">
        <v>192</v>
      </c>
      <c r="B48" s="16" t="str">
        <f>Table5[[#This Row],[Subject (Node A)]]</f>
        <v>GaroCommuninity</v>
      </c>
      <c r="C48" s="16" t="str">
        <f>Table5[[#This Row],[Object (Node B)]]</f>
        <v>Baskets</v>
      </c>
      <c r="D48" s="16" t="str">
        <f>Table5[[#This Row],[Predicate]]</f>
        <v>use different</v>
      </c>
      <c r="E48" t="s">
        <v>690</v>
      </c>
      <c r="F48" t="str">
        <f t="shared" si="1"/>
        <v>(GaroCommuninity)-[USE_DIFFERENT]-&gt;(Baskets)</v>
      </c>
      <c r="G48" t="s">
        <v>679</v>
      </c>
    </row>
    <row r="49" spans="1:7" ht="28.5">
      <c r="A49" t="s">
        <v>194</v>
      </c>
      <c r="B49" s="16" t="str">
        <f>Table5[[#This Row],[Subject (Node A)]]</f>
        <v>GaroCommunity</v>
      </c>
      <c r="C49" s="16" t="str">
        <f>Table5[[#This Row],[Object (Node B)]]</f>
        <v>Tin, Wood, ModernMaterials</v>
      </c>
      <c r="D49" s="16" t="str">
        <f>Table5[[#This Row],[Predicate]]</f>
        <v>now builds</v>
      </c>
      <c r="E49" t="s">
        <v>691</v>
      </c>
      <c r="F49" t="str">
        <f t="shared" si="1"/>
        <v>(GaroCommunity)-[NOW_BUILDS]-&gt;(Tin, Wood, ModernMaterials)</v>
      </c>
      <c r="G49" t="s">
        <v>645</v>
      </c>
    </row>
    <row r="50" spans="1:7">
      <c r="A50" t="s">
        <v>196</v>
      </c>
      <c r="B50" s="16" t="str">
        <f>Table5[[#This Row],[Subject (Node A)]]</f>
        <v>GaroPeople</v>
      </c>
      <c r="C50" s="16" t="str">
        <f>Table5[[#This Row],[Object (Node B)]]</f>
        <v>Helathcare</v>
      </c>
      <c r="D50" s="16" t="str">
        <f>Table5[[#This Row],[Predicate]]</f>
        <v>do not have good access to</v>
      </c>
      <c r="E50" t="s">
        <v>692</v>
      </c>
      <c r="F50" t="str">
        <f t="shared" si="1"/>
        <v>(GaroPeople)-[DO_NOT_HAVE_GOOD_ACCESS_TO]-&gt;(Helathcare)</v>
      </c>
      <c r="G50" t="s">
        <v>655</v>
      </c>
    </row>
    <row r="51" spans="1:7">
      <c r="A51" t="s">
        <v>198</v>
      </c>
      <c r="B51" s="16" t="str">
        <f>Table5[[#This Row],[Subject (Node A)]]</f>
        <v>GaroCommunity</v>
      </c>
      <c r="C51" s="16" t="str">
        <f>Table5[[#This Row],[Object (Node B)]]</f>
        <v>Improvements</v>
      </c>
      <c r="D51" s="16" t="str">
        <f>Table5[[#This Row],[Predicate]]</f>
        <v>now use tin for</v>
      </c>
      <c r="E51" t="s">
        <v>693</v>
      </c>
      <c r="F51" t="str">
        <f t="shared" si="1"/>
        <v>(GaroCommunity)-[NOW_USE_TIN_FOR]-&gt;(Improvements)</v>
      </c>
      <c r="G51" t="s">
        <v>663</v>
      </c>
    </row>
    <row r="52" spans="1:7">
      <c r="A52" t="s">
        <v>200</v>
      </c>
      <c r="B52" s="16" t="str">
        <f>Table5[[#This Row],[Subject (Node A)]]</f>
        <v>GaroCommunity</v>
      </c>
      <c r="C52" s="16" t="str">
        <f>Table5[[#This Row],[Object (Node B)]]</f>
        <v>Festivals</v>
      </c>
      <c r="D52" s="16" t="str">
        <f>Table5[[#This Row],[Predicate]]</f>
        <v xml:space="preserve">traditionally celebrate </v>
      </c>
      <c r="E52" t="s">
        <v>694</v>
      </c>
      <c r="F52" t="str">
        <f t="shared" si="1"/>
        <v>(GaroCommunity)-[TRADITIONALLY_CELEBRATE]-&gt;(Festivals)</v>
      </c>
      <c r="G52" t="s">
        <v>655</v>
      </c>
    </row>
    <row r="53" spans="1:7">
      <c r="A53" t="s">
        <v>204</v>
      </c>
      <c r="B53" s="16" t="str">
        <f>Table5[[#This Row],[Subject (Node A)]]</f>
        <v>GaroCommunity</v>
      </c>
      <c r="C53" s="16" t="str">
        <f>Table5[[#This Row],[Object (Node B)]]</f>
        <v>JhumCultivation</v>
      </c>
      <c r="D53" s="16" t="str">
        <f>Table5[[#This Row],[Predicate]]</f>
        <v>no longer dependent</v>
      </c>
      <c r="E53" t="s">
        <v>695</v>
      </c>
      <c r="F53" t="str">
        <f t="shared" si="1"/>
        <v>(GaroCommunity)-[NO_LONGER_DEPENDENT]-&gt;(JhumCultivation)</v>
      </c>
      <c r="G53" t="s">
        <v>655</v>
      </c>
    </row>
    <row r="54" spans="1:7">
      <c r="A54" t="s">
        <v>206</v>
      </c>
      <c r="B54" s="16" t="str">
        <f>Table5[[#This Row],[Subject (Node A)]]</f>
        <v>GaroCommunity</v>
      </c>
      <c r="C54" s="16" t="str">
        <f>Table5[[#This Row],[Object (Node B)]]</f>
        <v>Wangala, Christmas</v>
      </c>
      <c r="D54" s="16" t="str">
        <f>Table5[[#This Row],[Predicate]]</f>
        <v>now celebrates</v>
      </c>
      <c r="E54" t="s">
        <v>696</v>
      </c>
      <c r="F54" t="str">
        <f t="shared" si="1"/>
        <v>(GaroCommunity)-[NOW_CELEBRATES]-&gt;(Wangala, Christmas)</v>
      </c>
      <c r="G54" t="s">
        <v>645</v>
      </c>
    </row>
    <row r="55" spans="1:7">
      <c r="A55" t="s">
        <v>208</v>
      </c>
      <c r="B55" s="16" t="str">
        <f>Table5[[#This Row],[Subject (Node A)]]</f>
        <v>WangalaFestival</v>
      </c>
      <c r="C55" s="16" t="str">
        <f>Table5[[#This Row],[Object (Node B)]]</f>
        <v>GaroFestival</v>
      </c>
      <c r="D55" s="16" t="str">
        <f>Table5[[#This Row],[Predicate]]</f>
        <v>is the most significant</v>
      </c>
      <c r="E55" t="s">
        <v>697</v>
      </c>
      <c r="F55" t="str">
        <f t="shared" si="1"/>
        <v>(WangalaFestival)-[IS_THE_MOST_SIGNIFICANT]-&gt;(GaroFestival)</v>
      </c>
      <c r="G55" t="s">
        <v>645</v>
      </c>
    </row>
    <row r="56" spans="1:7">
      <c r="A56" t="s">
        <v>210</v>
      </c>
      <c r="B56" s="16" t="str">
        <f>Table5[[#This Row],[Subject (Node A)]]</f>
        <v>WangalaFestival</v>
      </c>
      <c r="C56" s="16" t="str">
        <f>Table5[[#This Row],[Object (Node B)]]</f>
        <v>ThanksgivingRitual</v>
      </c>
      <c r="D56" s="16" t="str">
        <f>Table5[[#This Row],[Predicate]]</f>
        <v>is a</v>
      </c>
      <c r="E56" t="s">
        <v>698</v>
      </c>
      <c r="F56" t="str">
        <f t="shared" si="1"/>
        <v>(WangalaFestival)-[IS_A]-&gt;(ThanksgivingRitual)</v>
      </c>
      <c r="G56" t="s">
        <v>645</v>
      </c>
    </row>
    <row r="57" spans="1:7">
      <c r="A57" t="s">
        <v>212</v>
      </c>
      <c r="B57" s="16" t="str">
        <f>Table5[[#This Row],[Subject (Node A)]]</f>
        <v>RugalaRitual</v>
      </c>
      <c r="C57" s="16" t="str">
        <f>Table5[[#This Row],[Object (Node B)]]</f>
        <v>Wangala, Nokma</v>
      </c>
      <c r="D57" s="16" t="str">
        <f>Table5[[#This Row],[Predicate]]</f>
        <v>is performed before</v>
      </c>
      <c r="E57" t="s">
        <v>699</v>
      </c>
      <c r="F57" t="str">
        <f t="shared" si="1"/>
        <v>(RugalaRitual)-[IS_PERFORMED_BEFORE]-&gt;(Wangala, Nokma)</v>
      </c>
      <c r="G57" t="s">
        <v>645</v>
      </c>
    </row>
    <row r="58" spans="1:7">
      <c r="A58" t="s">
        <v>214</v>
      </c>
      <c r="B58" s="16" t="str">
        <f>Table5[[#This Row],[Subject (Node A)]]</f>
        <v>ChatsoCeremony</v>
      </c>
      <c r="C58" s="16" t="str">
        <f>Table5[[#This Row],[Object (Node B)]]</f>
        <v>Nokma</v>
      </c>
      <c r="D58" s="16" t="str">
        <f>Table5[[#This Row],[Predicate]]</f>
        <v>is performed by</v>
      </c>
      <c r="E58" t="s">
        <v>700</v>
      </c>
      <c r="F58" t="str">
        <f t="shared" si="1"/>
        <v>(ChatsoCeremony)-[IS_PERFORMED_BY]-&gt;(Nokma)</v>
      </c>
      <c r="G58" t="s">
        <v>655</v>
      </c>
    </row>
    <row r="59" spans="1:7">
      <c r="A59" t="s">
        <v>217</v>
      </c>
      <c r="B59" s="16" t="str">
        <f>Table5[[#This Row],[Subject (Node A)]]</f>
        <v>GaroCommunity</v>
      </c>
      <c r="C59" s="16" t="str">
        <f>Table5[[#This Row],[Object (Node B)]]</f>
        <v>Church, ChristmasDay</v>
      </c>
      <c r="D59" s="16" t="str">
        <f>Table5[[#This Row],[Predicate]]</f>
        <v>attends</v>
      </c>
      <c r="E59" t="s">
        <v>701</v>
      </c>
      <c r="F59" t="str">
        <f t="shared" si="1"/>
        <v>(GaroCommunity)-[ATTENDS]-&gt;(Church, ChristmasDay)</v>
      </c>
      <c r="G59" t="s">
        <v>655</v>
      </c>
    </row>
    <row r="60" spans="1:7">
      <c r="A60" t="s">
        <v>220</v>
      </c>
      <c r="B60" s="16" t="str">
        <f>Table5[[#This Row],[Subject (Node A)]]</f>
        <v>ChristmasDay</v>
      </c>
      <c r="C60" s="16" t="str">
        <f>Table5[[#This Row],[Object (Node B)]]</f>
        <v>Holiday</v>
      </c>
      <c r="D60" s="16" t="str">
        <f>Table5[[#This Row],[Predicate]]</f>
        <v>is a</v>
      </c>
      <c r="E60" t="s">
        <v>698</v>
      </c>
      <c r="F60" t="str">
        <f t="shared" si="1"/>
        <v>(ChristmasDay)-[IS_A]-&gt;(Holiday)</v>
      </c>
      <c r="G60" t="s">
        <v>645</v>
      </c>
    </row>
    <row r="61" spans="1:7">
      <c r="A61" t="s">
        <v>222</v>
      </c>
      <c r="B61" s="16" t="str">
        <f>Table5[[#This Row],[Subject (Node A)]]</f>
        <v>GaroCommunity</v>
      </c>
      <c r="C61" s="16" t="str">
        <f>Table5[[#This Row],[Object (Node B)]]</f>
        <v>Greetings, Sweets</v>
      </c>
      <c r="D61" s="16" t="str">
        <f>Table5[[#This Row],[Predicate]]</f>
        <v>exchange</v>
      </c>
      <c r="E61" t="s">
        <v>702</v>
      </c>
      <c r="F61" t="str">
        <f t="shared" si="1"/>
        <v>(GaroCommunity)-[EXCHANGES]-&gt;(Greetings, Sweets)</v>
      </c>
      <c r="G61" t="s">
        <v>655</v>
      </c>
    </row>
    <row r="62" spans="1:7">
      <c r="A62" t="s">
        <v>224</v>
      </c>
      <c r="B62" s="16" t="str">
        <f>Table5[[#This Row],[Subject (Node A)]]</f>
        <v>GaroCommunity</v>
      </c>
      <c r="C62" s="16" t="str">
        <f>Table5[[#This Row],[Object (Node B)]]</f>
        <v>Wangala</v>
      </c>
      <c r="D62" s="16" t="str">
        <f>Table5[[#This Row],[Predicate]]</f>
        <v>prefers</v>
      </c>
      <c r="E62" t="s">
        <v>681</v>
      </c>
      <c r="F62" t="str">
        <f t="shared" si="1"/>
        <v>(GaroCommunity)-[PREFERS]-&gt;(Wangala)</v>
      </c>
      <c r="G62" t="s">
        <v>645</v>
      </c>
    </row>
    <row r="63" spans="1:7">
      <c r="A63" t="s">
        <v>226</v>
      </c>
      <c r="B63" s="16">
        <f>Table5[[#This Row],[Subject (Node A)]]</f>
        <v>0</v>
      </c>
      <c r="C63" s="16">
        <f>Table5[[#This Row],[Object (Node B)]]</f>
        <v>0</v>
      </c>
      <c r="D63" s="16">
        <f>Table5[[#This Row],[Predicate]]</f>
        <v>0</v>
      </c>
      <c r="F63" t="str">
        <f t="shared" si="1"/>
        <v>(0)-[]-&gt;(0)</v>
      </c>
      <c r="G63" t="s">
        <v>655</v>
      </c>
    </row>
    <row r="64" spans="1:7">
      <c r="A64" t="s">
        <v>228</v>
      </c>
      <c r="B64" s="16" t="str">
        <f>Table5[[#This Row],[Subject (Node A)]]</f>
        <v>Wangala</v>
      </c>
      <c r="C64" s="16" t="str">
        <f>Table5[[#This Row],[Object (Node B)]]</f>
        <v>Leaders</v>
      </c>
      <c r="D64" s="16" t="str">
        <f>Table5[[#This Row],[Predicate]]</f>
        <v>is organised by</v>
      </c>
      <c r="E64" t="s">
        <v>703</v>
      </c>
      <c r="F64" t="str">
        <f t="shared" si="1"/>
        <v>(Wangala)-[IS_ORGANISED_BY]-&gt;(Leaders)</v>
      </c>
      <c r="G64" t="s">
        <v>663</v>
      </c>
    </row>
    <row r="65" spans="1:7" ht="28.5">
      <c r="A65" t="s">
        <v>230</v>
      </c>
      <c r="B65" s="16" t="str">
        <f>Table5[[#This Row],[Subject (Node A)]]</f>
        <v>GaroCommunity</v>
      </c>
      <c r="C65" s="16" t="str">
        <f>Table5[[#This Row],[Object (Node B)]]</f>
        <v>Christianity</v>
      </c>
      <c r="D65" s="16" t="str">
        <f>Table5[[#This Row],[Predicate]]</f>
        <v>has undergone changes due to</v>
      </c>
      <c r="E65" t="s">
        <v>704</v>
      </c>
      <c r="F65" t="str">
        <f t="shared" si="1"/>
        <v>(GaroCommunity)-[HAS_UNDERGONE_CHANGES_DUE_TO]-&gt;(Christianity)</v>
      </c>
      <c r="G65" t="s">
        <v>645</v>
      </c>
    </row>
    <row r="66" spans="1:7">
      <c r="A66" t="s">
        <v>232</v>
      </c>
      <c r="B66" s="16" t="str">
        <f>Table5[[#This Row],[Subject (Node A)]]</f>
        <v>GaroCommunity</v>
      </c>
      <c r="C66" s="16" t="str">
        <f>Table5[[#This Row],[Object (Node B)]]</f>
        <v>Christmas</v>
      </c>
      <c r="D66" s="16" t="str">
        <f>Table5[[#This Row],[Predicate]]</f>
        <v>now celebrates</v>
      </c>
      <c r="E66" t="s">
        <v>696</v>
      </c>
      <c r="F66" t="str">
        <f t="shared" si="1"/>
        <v>(GaroCommunity)-[NOW_CELEBRATES]-&gt;(Christmas)</v>
      </c>
      <c r="G66" t="s">
        <v>645</v>
      </c>
    </row>
    <row r="67" spans="1:7">
      <c r="A67" t="s">
        <v>234</v>
      </c>
      <c r="B67" s="16" t="str">
        <f>Table5[[#This Row],[Subject (Node A)]]</f>
        <v>GaroCommunity</v>
      </c>
      <c r="C67" s="16" t="str">
        <f>Table5[[#This Row],[Object (Node B)]]</f>
        <v>Disappearing</v>
      </c>
      <c r="D67" s="16" t="str">
        <f>Table5[[#This Row],[Predicate]]</f>
        <v>is</v>
      </c>
      <c r="E67" t="s">
        <v>656</v>
      </c>
      <c r="F67" t="str">
        <f t="shared" si="1"/>
        <v>(GaroCommunity)-[IS]-&gt;(Disappearing)</v>
      </c>
      <c r="G67" t="s">
        <v>661</v>
      </c>
    </row>
    <row r="68" spans="1:7">
      <c r="A68" t="s">
        <v>236</v>
      </c>
      <c r="B68" s="16" t="str">
        <f>Table5[[#This Row],[Subject (Node A)]]</f>
        <v>Sangsarek</v>
      </c>
      <c r="C68" s="16" t="str">
        <f>Table5[[#This Row],[Object (Node B)]]</f>
        <v>TraditionalReligion</v>
      </c>
      <c r="D68" s="16" t="str">
        <f>Table5[[#This Row],[Predicate]]</f>
        <v>is the</v>
      </c>
      <c r="E68" t="s">
        <v>705</v>
      </c>
      <c r="F68" t="str">
        <f t="shared" ref="F68:F99" si="2">IF(B68="","","("&amp;B68&amp;")-["&amp;E68&amp;"]-&gt;("&amp;C68&amp;")")</f>
        <v>(Sangsarek)-[IS_THE]-&gt;(TraditionalReligion)</v>
      </c>
      <c r="G68" t="s">
        <v>645</v>
      </c>
    </row>
    <row r="69" spans="1:7">
      <c r="A69" t="s">
        <v>240</v>
      </c>
      <c r="B69" s="16" t="str">
        <f>Table5[[#This Row],[Subject (Node A)]]</f>
        <v>Sangsarek</v>
      </c>
      <c r="C69" s="16" t="str">
        <f>Table5[[#This Row],[Object (Node B)]]</f>
        <v>Forces, Gods</v>
      </c>
      <c r="D69" s="16" t="str">
        <f>Table5[[#This Row],[Predicate]]</f>
        <v>involves worship of</v>
      </c>
      <c r="E69" t="s">
        <v>706</v>
      </c>
      <c r="F69" t="str">
        <f t="shared" si="2"/>
        <v>(Sangsarek)-[INVOLVES_WORSHIP_OF]-&gt;(Forces, Gods)</v>
      </c>
      <c r="G69" t="s">
        <v>645</v>
      </c>
    </row>
    <row r="70" spans="1:7" ht="28.5">
      <c r="A70" t="s">
        <v>242</v>
      </c>
      <c r="B70" s="16" t="str">
        <f>Table5[[#This Row],[Subject (Node A)]]</f>
        <v>GaroPeople</v>
      </c>
      <c r="C70" s="16" t="str">
        <f>Table5[[#This Row],[Object (Node B)]]</f>
        <v>Sun, Stars, Moon, Thunder, Rain</v>
      </c>
      <c r="D70" s="16" t="str">
        <f>Table5[[#This Row],[Predicate]]</f>
        <v>have faith in</v>
      </c>
      <c r="E70" t="s">
        <v>707</v>
      </c>
      <c r="F70" t="str">
        <f t="shared" si="2"/>
        <v>(GaroPeople)-[HAVE_FAITH_IN]-&gt;(Sun, Stars, Moon, Thunder, Rain)</v>
      </c>
      <c r="G70" t="s">
        <v>645</v>
      </c>
    </row>
    <row r="71" spans="1:7">
      <c r="A71" t="s">
        <v>244</v>
      </c>
      <c r="B71" s="16" t="str">
        <f>Table5[[#This Row],[Subject (Node A)]]</f>
        <v>GaroPeople</v>
      </c>
      <c r="C71" s="16" t="str">
        <f>Table5[[#This Row],[Object (Node B)]]</f>
        <v>SupremeGod</v>
      </c>
      <c r="D71" s="16" t="str">
        <f>Table5[[#This Row],[Predicate]]</f>
        <v>believe in a</v>
      </c>
      <c r="E71" t="s">
        <v>708</v>
      </c>
      <c r="F71" t="str">
        <f t="shared" si="2"/>
        <v>(GaroPeople)-[BELIEVE_IN_A]-&gt;(SupremeGod)</v>
      </c>
      <c r="G71" t="s">
        <v>645</v>
      </c>
    </row>
    <row r="72" spans="1:7" ht="28.5">
      <c r="A72" t="s">
        <v>246</v>
      </c>
      <c r="B72" s="16" t="str">
        <f>Table5[[#This Row],[Subject (Node A)]]</f>
        <v>GaroPeople</v>
      </c>
      <c r="C72" s="16" t="str">
        <f>Table5[[#This Row],[Object (Node B)]]</f>
        <v>Souls</v>
      </c>
      <c r="D72" s="16" t="str">
        <f>Table5[[#This Row],[Predicate]]</f>
        <v>believe in transmigration of</v>
      </c>
      <c r="E72" t="s">
        <v>709</v>
      </c>
      <c r="F72" t="str">
        <f t="shared" si="2"/>
        <v>(GaroPeople)-[BELIEVE_IN_TRANSMIGRATION_OF]-&gt;(Souls)</v>
      </c>
      <c r="G72" t="s">
        <v>645</v>
      </c>
    </row>
    <row r="73" spans="1:7">
      <c r="A73" t="s">
        <v>248</v>
      </c>
      <c r="B73" s="16" t="str">
        <f>Table5[[#This Row],[Subject (Node A)]]</f>
        <v>DepartedSouls</v>
      </c>
      <c r="C73" s="16" t="str">
        <f>Table5[[#This Row],[Object (Node B)]]</f>
        <v>MongSangram, Chikmang</v>
      </c>
      <c r="D73" s="16" t="str">
        <f>Table5[[#This Row],[Predicate]]</f>
        <v>travel to</v>
      </c>
      <c r="E73" t="s">
        <v>710</v>
      </c>
      <c r="F73" t="str">
        <f t="shared" si="2"/>
        <v>(DepartedSouls)-[TRAVEL_TO]-&gt;(MongSangram, Chikmang)</v>
      </c>
      <c r="G73" t="s">
        <v>645</v>
      </c>
    </row>
    <row r="74" spans="1:7">
      <c r="A74" t="s">
        <v>250</v>
      </c>
      <c r="B74" s="16" t="str">
        <f>Table5[[#This Row],[Subject (Node A)]]</f>
        <v>DepartedSouls</v>
      </c>
      <c r="C74" s="16" t="str">
        <f>Table5[[#This Row],[Object (Node B)]]</f>
        <v>MissalCharms</v>
      </c>
      <c r="D74" s="16" t="str">
        <f>Table5[[#This Row],[Predicate]]</f>
        <v>rest at</v>
      </c>
      <c r="E74" t="s">
        <v>711</v>
      </c>
      <c r="F74" t="str">
        <f t="shared" si="2"/>
        <v>(DepartedSouls)-[REST_AT]-&gt;(MissalCharms)</v>
      </c>
      <c r="G74" t="s">
        <v>645</v>
      </c>
    </row>
    <row r="75" spans="1:7">
      <c r="A75" t="s">
        <v>252</v>
      </c>
      <c r="B75" s="16" t="str">
        <f>Table5[[#This Row],[Subject (Node A)]]</f>
        <v>GaroPeoplesSpirit</v>
      </c>
      <c r="C75" s="16" t="str">
        <f>Table5[[#This Row],[Object (Node B)]]</f>
        <v>Animal, Tree</v>
      </c>
      <c r="D75" s="16" t="str">
        <f>Table5[[#This Row],[Predicate]]</f>
        <v xml:space="preserve">is virtuous </v>
      </c>
      <c r="E75" t="s">
        <v>712</v>
      </c>
      <c r="F75" t="str">
        <f t="shared" si="2"/>
        <v>(GaroPeoplesSpirit)-[IS_VIRTUOUS]-&gt;(Animal, Tree)</v>
      </c>
      <c r="G75" t="s">
        <v>645</v>
      </c>
    </row>
    <row r="76" spans="1:7">
      <c r="A76" t="s">
        <v>254</v>
      </c>
      <c r="B76" s="16" t="str">
        <f>Table5[[#This Row],[Subject (Node A)]]</f>
        <v>GaroPeople</v>
      </c>
      <c r="C76" s="16" t="str">
        <f>Table5[[#This Row],[Object (Node B)]]</f>
        <v>Dog</v>
      </c>
      <c r="D76" s="16" t="str">
        <f>Table5[[#This Row],[Predicate]]</f>
        <v>die with debt</v>
      </c>
      <c r="E76" t="s">
        <v>713</v>
      </c>
      <c r="F76" t="str">
        <f t="shared" si="2"/>
        <v>(GaroPeople)-[DIE_WITH_DEBT]-&gt;(Dog)</v>
      </c>
      <c r="G76" t="s">
        <v>645</v>
      </c>
    </row>
    <row r="77" spans="1:7" ht="28.5">
      <c r="A77" t="s">
        <v>256</v>
      </c>
      <c r="B77" s="16" t="str">
        <f>Table5[[#This Row],[Subject (Node A)]]</f>
        <v>GaroPeople</v>
      </c>
      <c r="C77" s="16" t="str">
        <f>Table5[[#This Row],[Object (Node B)]]</f>
        <v>Ghost, EvilSpirit</v>
      </c>
      <c r="D77" s="16" t="str">
        <f>Table5[[#This Row],[Predicate]]</f>
        <v>commit suicide or are killed by a wild animal</v>
      </c>
      <c r="E77" t="s">
        <v>714</v>
      </c>
      <c r="F77" t="str">
        <f t="shared" si="2"/>
        <v>(GaroPeople)-[COMMIT_SUICIDE_OR_ARE_KILLED_BY_A_WILD_ANIMAL]-&gt;(Ghost, EvilSpirit)</v>
      </c>
      <c r="G77" t="s">
        <v>645</v>
      </c>
    </row>
    <row r="78" spans="1:7" ht="28.5">
      <c r="A78" t="s">
        <v>258</v>
      </c>
      <c r="B78" s="16" t="str">
        <f>Table5[[#This Row],[Subject (Node A)]]</f>
        <v>GaroCommunity</v>
      </c>
      <c r="C78" s="16" t="str">
        <f>Table5[[#This Row],[Object (Node B)]]</f>
        <v>Tartara, Saljong, Susime, Calcame</v>
      </c>
      <c r="D78" s="16" t="str">
        <f>Table5[[#This Row],[Predicate]]</f>
        <v>worships</v>
      </c>
      <c r="E78" t="s">
        <v>715</v>
      </c>
      <c r="F78" t="str">
        <f t="shared" si="2"/>
        <v>(GaroCommunity)-[WORSHIPSS]-&gt;(Tartara, Saljong, Susime, Calcame)</v>
      </c>
      <c r="G78" t="s">
        <v>645</v>
      </c>
    </row>
    <row r="79" spans="1:7">
      <c r="A79" t="s">
        <v>260</v>
      </c>
      <c r="B79" s="16" t="str">
        <f>Table5[[#This Row],[Subject (Node A)]]</f>
        <v>GaroCommunity</v>
      </c>
      <c r="C79" s="16" t="str">
        <f>Table5[[#This Row],[Object (Node B)]]</f>
        <v>Help, Treatment</v>
      </c>
      <c r="D79" s="16" t="str">
        <f>Table5[[#This Row],[Predicate]]</f>
        <v>believe Khamal</v>
      </c>
      <c r="E79" t="s">
        <v>716</v>
      </c>
      <c r="F79" t="str">
        <f t="shared" si="2"/>
        <v>(GaroCommunity)-[BELIEVE_KHAMAL]-&gt;(Help, Treatment)</v>
      </c>
      <c r="G79" t="s">
        <v>663</v>
      </c>
    </row>
    <row r="80" spans="1:7">
      <c r="A80" t="s">
        <v>262</v>
      </c>
      <c r="B80" s="16" t="str">
        <f>Table5[[#This Row],[Subject (Node A)]]</f>
        <v>GaroPeople</v>
      </c>
      <c r="C80" s="16" t="str">
        <f>Table5[[#This Row],[Object (Node B)]]</f>
        <v>Trees, Stones, Hills</v>
      </c>
      <c r="D80" s="16" t="str">
        <f>Table5[[#This Row],[Predicate]]</f>
        <v>believed in spirits dwelling</v>
      </c>
      <c r="E80" t="s">
        <v>717</v>
      </c>
      <c r="F80" t="str">
        <f t="shared" si="2"/>
        <v>(GaroPeople)-[BELIEVED_IN_SPIRITS_DWELLING]-&gt;(Trees, Stones, Hills)</v>
      </c>
      <c r="G80" t="s">
        <v>645</v>
      </c>
    </row>
    <row r="81" spans="1:7">
      <c r="A81" t="s">
        <v>264</v>
      </c>
      <c r="B81" s="16" t="str">
        <f>Table5[[#This Row],[Subject (Node A)]]</f>
        <v>GaroCommunity</v>
      </c>
      <c r="C81" s="16" t="str">
        <f>Table5[[#This Row],[Object (Node B)]]</f>
        <v>Christianity</v>
      </c>
      <c r="D81" s="16" t="str">
        <f>Table5[[#This Row],[Predicate]]</f>
        <v>converted to</v>
      </c>
      <c r="E81" t="s">
        <v>718</v>
      </c>
      <c r="F81" t="str">
        <f t="shared" si="2"/>
        <v>(GaroCommunity)-[CONVERTED_TO]-&gt;(Christianity)</v>
      </c>
      <c r="G81" t="s">
        <v>645</v>
      </c>
    </row>
    <row r="82" spans="1:7">
      <c r="A82" t="s">
        <v>266</v>
      </c>
      <c r="B82" s="16">
        <f>Table5[[#This Row],[Subject (Node A)]]</f>
        <v>0</v>
      </c>
      <c r="C82" s="16">
        <f>Table5[[#This Row],[Object (Node B)]]</f>
        <v>0</v>
      </c>
      <c r="D82" s="16">
        <f>Table5[[#This Row],[Predicate]]</f>
        <v>0</v>
      </c>
      <c r="F82" t="str">
        <f t="shared" si="2"/>
        <v>(0)-[]-&gt;(0)</v>
      </c>
    </row>
    <row r="83" spans="1:7">
      <c r="A83" t="s">
        <v>268</v>
      </c>
      <c r="B83" s="16">
        <f>Table5[[#This Row],[Subject (Node A)]]</f>
        <v>0</v>
      </c>
      <c r="C83" s="16">
        <f>Table5[[#This Row],[Object (Node B)]]</f>
        <v>0</v>
      </c>
      <c r="D83" s="16">
        <f>Table5[[#This Row],[Predicate]]</f>
        <v>0</v>
      </c>
      <c r="F83" t="str">
        <f t="shared" si="2"/>
        <v>(0)-[]-&gt;(0)</v>
      </c>
    </row>
    <row r="84" spans="1:7">
      <c r="A84" t="s">
        <v>270</v>
      </c>
      <c r="B84" s="16" t="str">
        <f>Table5[[#This Row],[Subject (Node A)]]</f>
        <v>GaroCommunity</v>
      </c>
      <c r="C84" s="16" t="str">
        <f>Table5[[#This Row],[Object (Node B)]]</f>
        <v>Christianity</v>
      </c>
      <c r="D84" s="16" t="str">
        <f>Table5[[#This Row],[Predicate]]</f>
        <v>have mostly embraced</v>
      </c>
      <c r="E84" t="s">
        <v>719</v>
      </c>
      <c r="F84" t="str">
        <f t="shared" si="2"/>
        <v>(GaroCommunity)-[HAVE_MOSTLY_EMBRACED]-&gt;(Christianity)</v>
      </c>
      <c r="G84" t="s">
        <v>645</v>
      </c>
    </row>
    <row r="85" spans="1:7">
      <c r="A85" t="s">
        <v>272</v>
      </c>
      <c r="B85" s="16" t="str">
        <f>Table5[[#This Row],[Subject (Node A)]]</f>
        <v>GaroCommunity</v>
      </c>
      <c r="C85" s="16" t="str">
        <f>Table5[[#This Row],[Object (Node B)]]</f>
        <v>TraditionalCustoms</v>
      </c>
      <c r="D85" s="16" t="str">
        <f>Table5[[#This Row],[Predicate]]</f>
        <v>disregards</v>
      </c>
      <c r="E85" t="s">
        <v>720</v>
      </c>
      <c r="F85" t="str">
        <f t="shared" si="2"/>
        <v>(GaroCommunity)-[DISREGARDS]-&gt;(TraditionalCustoms)</v>
      </c>
      <c r="G85" t="s">
        <v>663</v>
      </c>
    </row>
    <row r="86" spans="1:7">
      <c r="A86" t="s">
        <v>274</v>
      </c>
      <c r="B86" s="16" t="str">
        <f>Table5[[#This Row],[Subject (Node A)]]</f>
        <v>GaroCommunity</v>
      </c>
      <c r="C86" s="16" t="str">
        <f>Table5[[#This Row],[Object (Node B)]]</f>
        <v>GoodShape</v>
      </c>
      <c r="D86" s="16" t="str">
        <f>Table5[[#This Row],[Predicate]]</f>
        <v>is in</v>
      </c>
      <c r="E86" t="s">
        <v>721</v>
      </c>
      <c r="F86" t="str">
        <f t="shared" si="2"/>
        <v>(GaroCommunity)-[IS_IN]-&gt;(GoodShape)</v>
      </c>
      <c r="G86" t="s">
        <v>663</v>
      </c>
    </row>
    <row r="87" spans="1:7">
      <c r="A87" t="s">
        <v>278</v>
      </c>
      <c r="B87" s="16" t="str">
        <f>Table5[[#This Row],[Subject (Node A)]]</f>
        <v>GaroPeople</v>
      </c>
      <c r="C87" s="16" t="str">
        <f>Table5[[#This Row],[Object (Node B)]]</f>
        <v>DispleasingGod, Curse</v>
      </c>
      <c r="D87" s="16" t="str">
        <f>Table5[[#This Row],[Predicate]]</f>
        <v>attribute illnesses to</v>
      </c>
      <c r="E87" t="s">
        <v>722</v>
      </c>
      <c r="F87" t="str">
        <f t="shared" si="2"/>
        <v>(GaroPeople)-[ATTRIBUTE_ILLNESSES_TO]-&gt;(DispleasingGod, Curse)</v>
      </c>
      <c r="G87" t="s">
        <v>645</v>
      </c>
    </row>
    <row r="88" spans="1:7">
      <c r="A88" t="s">
        <v>280</v>
      </c>
      <c r="B88" s="16" t="str">
        <f>Table5[[#This Row],[Subject (Node A)]]</f>
        <v>GaroPeople</v>
      </c>
      <c r="C88" s="16" t="str">
        <f>Table5[[#This Row],[Object (Node B)]]</f>
        <v>Sprirts</v>
      </c>
      <c r="D88" s="16" t="str">
        <f>Table5[[#This Row],[Predicate]]</f>
        <v xml:space="preserve">offer sacrifices to </v>
      </c>
      <c r="E88" t="s">
        <v>723</v>
      </c>
      <c r="F88" t="str">
        <f t="shared" si="2"/>
        <v>(GaroPeople)-[OFFER_SACRIFICES_TO]-&gt;(Sprirts)</v>
      </c>
      <c r="G88" t="s">
        <v>645</v>
      </c>
    </row>
    <row r="89" spans="1:7">
      <c r="A89" t="s">
        <v>282</v>
      </c>
      <c r="B89" s="16" t="str">
        <f>Table5[[#This Row],[Subject (Node A)]]</f>
        <v>GaroCommunity</v>
      </c>
      <c r="C89" s="16" t="str">
        <f>Table5[[#This Row],[Object (Node B)]]</f>
        <v>Vegetables, Wine</v>
      </c>
      <c r="D89" s="16" t="str">
        <f>Table5[[#This Row],[Predicate]]</f>
        <v>consumes</v>
      </c>
      <c r="E89" t="s">
        <v>724</v>
      </c>
      <c r="F89" t="str">
        <f t="shared" si="2"/>
        <v>(GaroCommunity)-[CONSUMES]-&gt;(Vegetables, Wine)</v>
      </c>
      <c r="G89" t="s">
        <v>645</v>
      </c>
    </row>
    <row r="90" spans="1:7">
      <c r="A90" t="s">
        <v>284</v>
      </c>
      <c r="B90" s="16" t="str">
        <f>Table5[[#This Row],[Subject (Node A)]]</f>
        <v>GaroPeople</v>
      </c>
      <c r="C90" s="16" t="str">
        <f>Table5[[#This Row],[Object (Node B)]]</f>
        <v>Healthcare</v>
      </c>
      <c r="D90" s="16" t="str">
        <f>Table5[[#This Row],[Predicate]]</f>
        <v>lack access to</v>
      </c>
      <c r="E90" t="s">
        <v>725</v>
      </c>
      <c r="F90" t="str">
        <f t="shared" si="2"/>
        <v>(GaroPeople)-[LACK_ACCESS_TO]-&gt;(Healthcare)</v>
      </c>
      <c r="G90" t="s">
        <v>645</v>
      </c>
    </row>
    <row r="91" spans="1:7" ht="28.5">
      <c r="A91" t="s">
        <v>286</v>
      </c>
      <c r="B91" s="16" t="str">
        <f>Table5[[#This Row],[Subject (Node A)]]</f>
        <v>GaroPeople</v>
      </c>
      <c r="C91" s="16" t="str">
        <f>Table5[[#This Row],[Object (Node B)]]</f>
        <v>Hospital, MedicalCare</v>
      </c>
      <c r="D91" s="16" t="str">
        <f>Table5[[#This Row],[Predicate]]</f>
        <v>travel long distance to access</v>
      </c>
      <c r="E91" t="s">
        <v>726</v>
      </c>
      <c r="F91" t="str">
        <f t="shared" si="2"/>
        <v>(GaroPeople)-[TRAVEL_LONG_DISTANCE_TO_ACCESS]-&gt;(Hospital, MedicalCare)</v>
      </c>
      <c r="G91" t="s">
        <v>645</v>
      </c>
    </row>
    <row r="92" spans="1:7">
      <c r="A92" t="s">
        <v>288</v>
      </c>
      <c r="B92" s="16" t="str">
        <f>Table5[[#This Row],[Subject (Node A)]]</f>
        <v>GaroCommunity</v>
      </c>
      <c r="C92" s="16" t="str">
        <f>Table5[[#This Row],[Object (Node B)]]</f>
        <v>MedicalFacilities</v>
      </c>
      <c r="D92" s="16" t="str">
        <f>Table5[[#This Row],[Predicate]]</f>
        <v>lack adequate</v>
      </c>
      <c r="E92" t="s">
        <v>727</v>
      </c>
      <c r="F92" t="str">
        <f t="shared" si="2"/>
        <v>(GaroCommunity)-[LACK_ADEQUATE]-&gt;(MedicalFacilities)</v>
      </c>
      <c r="G92" t="s">
        <v>645</v>
      </c>
    </row>
    <row r="93" spans="1:7">
      <c r="A93" t="s">
        <v>290</v>
      </c>
      <c r="B93" s="16">
        <f>Table5[[#This Row],[Subject (Node A)]]</f>
        <v>0</v>
      </c>
      <c r="C93" s="16">
        <f>Table5[[#This Row],[Object (Node B)]]</f>
        <v>0</v>
      </c>
      <c r="D93" s="16">
        <f>Table5[[#This Row],[Predicate]]</f>
        <v>0</v>
      </c>
      <c r="F93" t="str">
        <f t="shared" si="2"/>
        <v>(0)-[]-&gt;(0)</v>
      </c>
    </row>
    <row r="94" spans="1:7">
      <c r="A94" t="s">
        <v>292</v>
      </c>
      <c r="B94" s="16" t="str">
        <f>Table5[[#This Row],[Subject (Node A)]]</f>
        <v>GaroCommunity</v>
      </c>
      <c r="C94" s="16" t="str">
        <f>Table5[[#This Row],[Object (Node B)]]</f>
        <v>Missionaries, Government</v>
      </c>
      <c r="D94" s="16" t="str">
        <f>Table5[[#This Row],[Predicate]]</f>
        <v>received training</v>
      </c>
      <c r="E94" t="s">
        <v>728</v>
      </c>
      <c r="F94" t="str">
        <f t="shared" si="2"/>
        <v>(GaroCommunity)-[RECEIVED_TRAINING]-&gt;(Missionaries, Government)</v>
      </c>
      <c r="G94" t="s">
        <v>663</v>
      </c>
    </row>
    <row r="95" spans="1:7">
      <c r="A95" t="s">
        <v>294</v>
      </c>
      <c r="B95" s="16">
        <f>Table5[[#This Row],[Subject (Node A)]]</f>
        <v>0</v>
      </c>
      <c r="C95" s="16">
        <f>Table5[[#This Row],[Object (Node B)]]</f>
        <v>0</v>
      </c>
      <c r="D95" s="16">
        <f>Table5[[#This Row],[Predicate]]</f>
        <v>0</v>
      </c>
      <c r="F95" t="str">
        <f t="shared" si="2"/>
        <v>(0)-[]-&gt;(0)</v>
      </c>
    </row>
    <row r="96" spans="1:7">
      <c r="A96" t="s">
        <v>296</v>
      </c>
      <c r="B96" s="16" t="str">
        <f>Table5[[#This Row],[Subject (Node A)]]</f>
        <v>GaroCommunity</v>
      </c>
      <c r="C96" s="16" t="str">
        <f>Table5[[#This Row],[Object (Node B)]]</f>
        <v>Ignorance</v>
      </c>
      <c r="D96" s="16" t="str">
        <f>Table5[[#This Row],[Predicate]]</f>
        <v>due to</v>
      </c>
      <c r="E96" t="s">
        <v>729</v>
      </c>
      <c r="F96" t="str">
        <f t="shared" si="2"/>
        <v>(GaroCommunity)-[DUE_TO]-&gt;(Ignorance)</v>
      </c>
      <c r="G96" t="s">
        <v>679</v>
      </c>
    </row>
    <row r="97" spans="1:7">
      <c r="A97" t="s">
        <v>298</v>
      </c>
      <c r="B97" s="16" t="str">
        <f>Table5[[#This Row],[Subject (Node A)]]</f>
        <v>JhumCultivation</v>
      </c>
      <c r="C97" s="16" t="str">
        <f>Table5[[#This Row],[Object (Node B)]]</f>
        <v>4000Years</v>
      </c>
      <c r="D97" s="16" t="str">
        <f>Table5[[#This Row],[Predicate]]</f>
        <v>practiced for over</v>
      </c>
      <c r="E97" t="s">
        <v>730</v>
      </c>
      <c r="F97" t="str">
        <f t="shared" si="2"/>
        <v>(JhumCultivation)-[PRACTICED_FOR_OVER]-&gt;(4000Years)</v>
      </c>
      <c r="G97" t="s">
        <v>645</v>
      </c>
    </row>
    <row r="98" spans="1:7">
      <c r="A98" t="s">
        <v>302</v>
      </c>
      <c r="B98" s="16" t="str">
        <f>Table5[[#This Row],[Subject (Node A)]]</f>
        <v>GaroCommunity</v>
      </c>
      <c r="C98" s="16" t="str">
        <f>Table5[[#This Row],[Object (Node B)]]</f>
        <v>Fishing, OtherProfessions</v>
      </c>
      <c r="D98" s="16" t="str">
        <f>Table5[[#This Row],[Predicate]]</f>
        <v>have started engaging</v>
      </c>
      <c r="E98" t="s">
        <v>731</v>
      </c>
      <c r="F98" t="str">
        <f t="shared" si="2"/>
        <v>(GaroCommunity)-[HAVE_STARTED_ENGAGING]-&gt;(Fishing, OtherProfessions)</v>
      </c>
      <c r="G98" t="s">
        <v>645</v>
      </c>
    </row>
    <row r="99" spans="1:7" ht="28.5">
      <c r="A99" t="s">
        <v>304</v>
      </c>
      <c r="B99" s="16" t="str">
        <f>Table5[[#This Row],[Subject (Node A)]]</f>
        <v>GaroPeople</v>
      </c>
      <c r="C99" s="16" t="str">
        <f>Table5[[#This Row],[Object (Node B)]]</f>
        <v>Teaching, Employment, Business</v>
      </c>
      <c r="D99" s="16" t="str">
        <f>Table5[[#This Row],[Predicate]]</f>
        <v>have diversified into</v>
      </c>
      <c r="E99" t="s">
        <v>732</v>
      </c>
      <c r="F99" t="str">
        <f t="shared" si="2"/>
        <v>(GaroPeople)-[HAVE_DIVERSIFIED_INTO]-&gt;(Teaching, Employment, Business)</v>
      </c>
      <c r="G99" t="s">
        <v>645</v>
      </c>
    </row>
    <row r="100" spans="1:7">
      <c r="A100" t="s">
        <v>306</v>
      </c>
      <c r="B100" s="16" t="str">
        <f>Table5[[#This Row],[Subject (Node A)]]</f>
        <v>GaroPeople</v>
      </c>
      <c r="C100" s="16" t="str">
        <f>Table5[[#This Row],[Object (Node B)]]</f>
        <v>Cities, BetterPay</v>
      </c>
      <c r="D100" s="16" t="str">
        <f>Table5[[#This Row],[Predicate]]</f>
        <v>have migrated to</v>
      </c>
      <c r="E100" t="s">
        <v>733</v>
      </c>
      <c r="F100" t="str">
        <f t="shared" ref="F100:F108" si="3">IF(B100="","","("&amp;B100&amp;")-["&amp;E100&amp;"]-&gt;("&amp;C100&amp;")")</f>
        <v>(GaroPeople)-[HAVE_MIGRATED_TO]-&gt;(Cities, BetterPay)</v>
      </c>
      <c r="G100" t="s">
        <v>645</v>
      </c>
    </row>
    <row r="101" spans="1:7">
      <c r="A101" t="s">
        <v>308</v>
      </c>
      <c r="B101" s="16" t="str">
        <f>Table5[[#This Row],[Subject (Node A)]]</f>
        <v>GaroPeople</v>
      </c>
      <c r="C101" s="16" t="str">
        <f>Table5[[#This Row],[Object (Node B)]]</f>
        <v>Farming</v>
      </c>
      <c r="D101" s="16" t="str">
        <f>Table5[[#This Row],[Predicate]]</f>
        <v>primary occupation is</v>
      </c>
      <c r="E101" t="s">
        <v>734</v>
      </c>
      <c r="F101" t="str">
        <f t="shared" si="3"/>
        <v>(GaroPeople)-[PRIMARY_OCCUPATION_IS]-&gt;(Farming)</v>
      </c>
      <c r="G101" t="s">
        <v>645</v>
      </c>
    </row>
    <row r="102" spans="1:7">
      <c r="A102" t="s">
        <v>310</v>
      </c>
      <c r="B102" s="16" t="str">
        <f>Table5[[#This Row],[Subject (Node A)]]</f>
        <v>GaroCommunity</v>
      </c>
      <c r="C102" s="16" t="str">
        <f>Table5[[#This Row],[Object (Node B)]]</f>
        <v>Migration</v>
      </c>
      <c r="D102" s="16" t="str">
        <f>Table5[[#This Row],[Predicate]]</f>
        <v>has increasing rural-urban</v>
      </c>
      <c r="E102" t="s">
        <v>735</v>
      </c>
      <c r="F102" t="str">
        <f t="shared" si="3"/>
        <v>(GaroCommunity)-[HAS_INCREASING_RURAL_URBAN]-&gt;(Migration)</v>
      </c>
      <c r="G102" t="s">
        <v>663</v>
      </c>
    </row>
    <row r="103" spans="1:7" ht="28.5">
      <c r="A103" t="s">
        <v>312</v>
      </c>
      <c r="B103" s="16" t="str">
        <f>Table5[[#This Row],[Subject (Node A)]]</f>
        <v>GaroCommunity</v>
      </c>
      <c r="C103" s="16" t="str">
        <f>Table5[[#This Row],[Object (Node B)]]</f>
        <v>WomenAuthority</v>
      </c>
      <c r="D103" s="16" t="str">
        <f>Table5[[#This Row],[Predicate]]</f>
        <v>follow a matrilineal system granting</v>
      </c>
      <c r="E103" t="s">
        <v>736</v>
      </c>
      <c r="F103" t="str">
        <f t="shared" si="3"/>
        <v>(GaroCommunity)-[FOLAmbiguous_A_MATRILINEAL_SYSTEM_GRANTING]-&gt;(WomenAuthority)</v>
      </c>
      <c r="G103" t="s">
        <v>663</v>
      </c>
    </row>
    <row r="104" spans="1:7" ht="28.5">
      <c r="A104" t="s">
        <v>316</v>
      </c>
      <c r="B104" s="16" t="str">
        <f>Table5[[#This Row],[Subject (Node A)]]</f>
        <v>MatrilinealSystem</v>
      </c>
      <c r="C104" s="16" t="str">
        <f>Table5[[#This Row],[Object (Node B)]]</f>
        <v>EquallyShared</v>
      </c>
      <c r="D104" s="16" t="str">
        <f>Table5[[#This Row],[Predicate]]</f>
        <v>is declining and land ownership is becoming</v>
      </c>
      <c r="E104" t="s">
        <v>737</v>
      </c>
      <c r="F104" t="str">
        <f t="shared" si="3"/>
        <v>(MatrilinealSystem)-[IS_DECLINING_AND_LAND_OWNERSHIP_IS_BECOMING]-&gt;(EquallyShared)</v>
      </c>
      <c r="G104" t="s">
        <v>663</v>
      </c>
    </row>
    <row r="105" spans="1:7">
      <c r="A105" t="s">
        <v>318</v>
      </c>
      <c r="B105" s="16">
        <f>Table5[[#This Row],[Subject (Node A)]]</f>
        <v>0</v>
      </c>
      <c r="C105" s="16">
        <f>Table5[[#This Row],[Object (Node B)]]</f>
        <v>0</v>
      </c>
      <c r="D105" s="16">
        <f>Table5[[#This Row],[Predicate]]</f>
        <v>0</v>
      </c>
      <c r="F105" t="str">
        <f t="shared" si="3"/>
        <v>(0)-[]-&gt;(0)</v>
      </c>
    </row>
    <row r="106" spans="1:7">
      <c r="A106" t="s">
        <v>320</v>
      </c>
      <c r="B106" s="16">
        <f>Table5[[#This Row],[Subject (Node A)]]</f>
        <v>0</v>
      </c>
      <c r="C106" s="16">
        <f>Table5[[#This Row],[Object (Node B)]]</f>
        <v>0</v>
      </c>
      <c r="D106" s="16">
        <f>Table5[[#This Row],[Predicate]]</f>
        <v>0</v>
      </c>
      <c r="F106" t="str">
        <f t="shared" si="3"/>
        <v>(0)-[]-&gt;(0)</v>
      </c>
    </row>
    <row r="107" spans="1:7">
      <c r="A107" t="s">
        <v>322</v>
      </c>
      <c r="B107" s="16">
        <f>Table5[[#This Row],[Subject (Node A)]]</f>
        <v>0</v>
      </c>
      <c r="C107" s="16">
        <f>Table5[[#This Row],[Object (Node B)]]</f>
        <v>0</v>
      </c>
      <c r="D107" s="16">
        <f>Table5[[#This Row],[Predicate]]</f>
        <v>0</v>
      </c>
      <c r="F107" t="str">
        <f t="shared" si="3"/>
        <v>(0)-[]-&gt;(0)</v>
      </c>
    </row>
    <row r="108" spans="1:7">
      <c r="A108" t="s">
        <v>324</v>
      </c>
      <c r="B108" s="16">
        <f>Table5[[#This Row],[Subject (Node A)]]</f>
        <v>0</v>
      </c>
      <c r="C108" s="16">
        <f>Table5[[#This Row],[Object (Node B)]]</f>
        <v>0</v>
      </c>
      <c r="D108" s="16">
        <f>Table5[[#This Row],[Predicate]]</f>
        <v>0</v>
      </c>
      <c r="F108" t="str">
        <f t="shared" si="3"/>
        <v>(0)-[]-&gt;(0)</v>
      </c>
    </row>
  </sheetData>
  <mergeCells count="2">
    <mergeCell ref="A1:G1"/>
    <mergeCell ref="A2:G2"/>
  </mergeCells>
  <phoneticPr fontId="10"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BB7A4-6B8C-44D7-888D-C48B3EAA65A9}">
  <dimension ref="A1:I130"/>
  <sheetViews>
    <sheetView topLeftCell="C1" zoomScale="108" workbookViewId="0">
      <selection activeCell="D6" sqref="D6"/>
    </sheetView>
  </sheetViews>
  <sheetFormatPr defaultRowHeight="14.25"/>
  <cols>
    <col min="1" max="1" width="8.73046875" customWidth="1"/>
    <col min="2" max="2" width="77.3984375" bestFit="1" customWidth="1"/>
    <col min="3" max="3" width="71.1328125" bestFit="1" customWidth="1"/>
    <col min="4" max="4" width="77.3984375" bestFit="1" customWidth="1"/>
    <col min="5" max="5" width="25.86328125" style="16" bestFit="1" customWidth="1"/>
    <col min="6" max="6" width="14.73046875" customWidth="1"/>
    <col min="9" max="9" width="8.1328125" customWidth="1"/>
  </cols>
  <sheetData>
    <row r="1" spans="1:9">
      <c r="A1" s="32" t="s">
        <v>738</v>
      </c>
      <c r="B1" s="32"/>
      <c r="C1" s="32"/>
      <c r="D1" s="32"/>
      <c r="E1" s="32"/>
      <c r="F1" s="32"/>
      <c r="G1" s="32"/>
      <c r="H1" s="32"/>
    </row>
    <row r="2" spans="1:9" ht="61.5" customHeight="1">
      <c r="A2" s="38" t="s">
        <v>739</v>
      </c>
      <c r="B2" s="38"/>
      <c r="C2" s="38"/>
      <c r="D2" s="38"/>
      <c r="E2" s="38"/>
      <c r="F2" s="38"/>
      <c r="G2" s="38"/>
      <c r="H2" s="38"/>
    </row>
    <row r="3" spans="1:9">
      <c r="A3" t="s">
        <v>740</v>
      </c>
      <c r="B3" t="s">
        <v>741</v>
      </c>
      <c r="C3" t="s">
        <v>742</v>
      </c>
      <c r="D3" t="s">
        <v>743</v>
      </c>
      <c r="E3" s="16" t="s">
        <v>744</v>
      </c>
      <c r="F3" t="s">
        <v>111</v>
      </c>
      <c r="H3" s="39"/>
      <c r="I3" s="39"/>
    </row>
    <row r="4" spans="1:9">
      <c r="A4" t="s">
        <v>745</v>
      </c>
      <c r="B4" t="str">
        <f>Table6[[#This Row],[Cypher]]</f>
        <v>(GaroCommunity)-[IS_ONE_OF]-&gt;(LargestMinorityTribes)</v>
      </c>
      <c r="C4" t="s">
        <v>746</v>
      </c>
      <c r="D4" t="str">
        <f>Table7[[#This Row],[Member A Triple]]</f>
        <v>(GaroCommunity)-[IS_ONE_OF]-&gt;(LargestMinorityTribes)</v>
      </c>
      <c r="E4" s="16" t="s">
        <v>747</v>
      </c>
      <c r="F4" t="s">
        <v>748</v>
      </c>
    </row>
    <row r="5" spans="1:9">
      <c r="A5" t="s">
        <v>749</v>
      </c>
      <c r="B5" t="str">
        <f>Table6[[#This Row],[Cypher]]</f>
        <v>(GaroCommunity)-[RESIDES_IN]-&gt;(MultipleDistrics)</v>
      </c>
      <c r="C5" t="s">
        <v>750</v>
      </c>
      <c r="D5" t="str">
        <f>Table7[[#This Row],[Member B Triple]]</f>
        <v>(GaroCommunity)-[LIVES_IN]-&gt;(MadhupurTangailBangladesh)</v>
      </c>
      <c r="F5" t="s">
        <v>748</v>
      </c>
    </row>
    <row r="6" spans="1:9">
      <c r="A6" t="s">
        <v>751</v>
      </c>
      <c r="B6" t="str">
        <f>Table6[[#This Row],[Cypher]]</f>
        <v>(GaroCommunity)-[MIGRATED_FROM]-&gt;(Tibet, Burma)</v>
      </c>
      <c r="C6" t="s">
        <v>752</v>
      </c>
      <c r="D6" t="str">
        <f>Table7[[#This Row],[Member A Triple]]</f>
        <v>(GaroCommunity)-[MIGRATED_FROM]-&gt;(Tibet, Burma)</v>
      </c>
      <c r="F6" t="s">
        <v>748</v>
      </c>
    </row>
    <row r="7" spans="1:9">
      <c r="A7" t="s">
        <v>753</v>
      </c>
      <c r="B7" t="str">
        <f>Table6[[#This Row],[Cypher]]</f>
        <v>(GaroCommunity)-[IS_PRIMARILY]-&gt;(Agricultural)</v>
      </c>
      <c r="C7" t="s">
        <v>754</v>
      </c>
      <c r="D7" t="str">
        <f>Table7[[#This Row],[Member A Triple]]</f>
        <v>(GaroCommunity)-[IS_PRIMARILY]-&gt;(Agricultural)</v>
      </c>
      <c r="E7" s="16" t="s">
        <v>755</v>
      </c>
      <c r="F7" t="s">
        <v>748</v>
      </c>
    </row>
    <row r="8" spans="1:9">
      <c r="A8" t="s">
        <v>756</v>
      </c>
      <c r="B8" t="str">
        <f>Table6[[#This Row],[Cypher]]</f>
        <v>(GaroPeople)-[SPEAKS]-&gt;(Bengali)</v>
      </c>
      <c r="C8" t="s">
        <v>757</v>
      </c>
      <c r="D8" t="str">
        <f>Table7[[#This Row],[Member B Triple]]</f>
        <v>(GaroPeople)-[ARE]-&gt;(Bilingual)</v>
      </c>
      <c r="E8" s="16" t="s">
        <v>755</v>
      </c>
      <c r="F8" t="s">
        <v>748</v>
      </c>
    </row>
    <row r="9" spans="1:9">
      <c r="A9" t="s">
        <v>758</v>
      </c>
      <c r="B9" t="str">
        <f>Table6[[#This Row],[Cypher]]</f>
        <v>(GaroSociety)-[FOLAmbiguousS]-&gt;(MatriarchalSystem)</v>
      </c>
      <c r="C9" t="s">
        <v>759</v>
      </c>
      <c r="D9" t="str">
        <f>Table7[[#This Row],[Member B Triple]]</f>
        <v>(GaroCommunity)-[FOLLOWS]-&gt;(MatriarchalSystem)</v>
      </c>
      <c r="F9" t="s">
        <v>748</v>
      </c>
    </row>
    <row r="10" spans="1:9">
      <c r="A10" t="s">
        <v>760</v>
      </c>
      <c r="B10" t="str">
        <f>Table6[[#This Row],[Cypher]]</f>
        <v>(GaroWomen)-[RECEIVE]-&gt;(Inheritance)</v>
      </c>
      <c r="C10" t="s">
        <v>761</v>
      </c>
      <c r="D10" t="str">
        <f>Table7[[#This Row],[Member B Triple]]</f>
        <v>(GaroWomen)-[INHERIT]-&gt;(Property)</v>
      </c>
      <c r="F10" t="s">
        <v>748</v>
      </c>
    </row>
    <row r="11" spans="1:9">
      <c r="A11" t="s">
        <v>762</v>
      </c>
      <c r="B11" t="str">
        <f>Table6[[#This Row],[Cypher]]</f>
        <v>(GaroCulture)-[INCLUDES]-&gt;(SupernaturalBeliefs)</v>
      </c>
      <c r="C11" t="s">
        <v>763</v>
      </c>
      <c r="D11" t="str">
        <f>Table7[[#This Row],[Member B Triple]]</f>
        <v>(GaroPeople)-[HAVE]-&gt;(SupernaturalBeliefs)</v>
      </c>
      <c r="F11" t="s">
        <v>748</v>
      </c>
    </row>
    <row r="12" spans="1:9">
      <c r="A12" t="s">
        <v>764</v>
      </c>
      <c r="B12" t="str">
        <f>Table6[[#This Row],[Cypher]]</f>
        <v>(GaroCommunity)-[PRACTICES]-&gt;(RitaulsAndCustoms)</v>
      </c>
      <c r="C12" t="s">
        <v>765</v>
      </c>
      <c r="D12" t="str">
        <f>Table7[[#This Row],[Member B Triple]]</f>
        <v>(GaroCommunity)-[PRACTICES]-&gt;(Rituals)</v>
      </c>
      <c r="F12" t="s">
        <v>748</v>
      </c>
    </row>
    <row r="13" spans="1:9">
      <c r="A13" t="s">
        <v>766</v>
      </c>
      <c r="B13" t="str">
        <f>Table6[[#This Row],[Cypher]]</f>
        <v>(GaroCommunity)-[MAIN_LIVELIHOOD_IS]-&gt;(Agriculture)</v>
      </c>
      <c r="C13" t="s">
        <v>767</v>
      </c>
      <c r="D13" t="str">
        <f>Table7[[#This Row],[Member B Triple]]</f>
        <v>(GaroCommunity)-[RELIES_ON]-&gt;(Agriculture)</v>
      </c>
      <c r="E13" s="16" t="s">
        <v>755</v>
      </c>
      <c r="F13" t="s">
        <v>748</v>
      </c>
    </row>
    <row r="14" spans="1:9" ht="28.5">
      <c r="A14" t="s">
        <v>768</v>
      </c>
      <c r="B14" t="str">
        <f>Table6[[#This Row],[Cypher]]</f>
        <v>(GaroCommunity)-[IS]-&gt;(LargestMinorityGroups)</v>
      </c>
      <c r="C14" t="s">
        <v>769</v>
      </c>
      <c r="D14" t="str">
        <f>Table7[[#This Row],[Member B Triple]]</f>
        <v>(GaroEthnicGroup)-[IS]-&gt;(MinorityGroup)</v>
      </c>
      <c r="E14" s="16" t="s">
        <v>770</v>
      </c>
      <c r="F14" t="s">
        <v>748</v>
      </c>
    </row>
    <row r="15" spans="1:9" ht="42.75">
      <c r="A15" t="s">
        <v>771</v>
      </c>
      <c r="B15" t="str">
        <f>Table6[[#This Row],[Cypher]]</f>
        <v>(GaroCommunity)-[MIGRATED_TO]-&gt;(MeghalayaBangladesh)</v>
      </c>
      <c r="C15" t="s">
        <v>772</v>
      </c>
      <c r="E15" s="16" t="s">
        <v>773</v>
      </c>
      <c r="F15" t="s">
        <v>748</v>
      </c>
    </row>
    <row r="16" spans="1:9" ht="28.5">
      <c r="A16" t="s">
        <v>774</v>
      </c>
      <c r="B16" t="str">
        <f>Table6[[#This Row],[Cypher]]</f>
        <v>(GaroCommunity)-[WAS_ISOLATED_BEFORE]-&gt;(BritishColonialRule)</v>
      </c>
      <c r="C16" t="s">
        <v>775</v>
      </c>
      <c r="D16" t="str">
        <f>Table7[[#This Row],[Member A Triple]]</f>
        <v>(GaroCommunity)-[WAS_ISOLATED_BEFORE]-&gt;(BritishColonialRule)</v>
      </c>
      <c r="E16" s="16" t="s">
        <v>776</v>
      </c>
      <c r="F16" t="s">
        <v>748</v>
      </c>
    </row>
    <row r="17" spans="1:6">
      <c r="A17" t="s">
        <v>777</v>
      </c>
      <c r="B17" t="str">
        <f>Table6[[#This Row],[Cypher]]</f>
        <v>(GaroSubtribe)-[FIRST_RECEIVED_NAME]-&gt;(Garo)</v>
      </c>
      <c r="D17" t="str">
        <f>Table7[[#This Row],[Member A Triple]]</f>
        <v>(GaroSubtribe)-[FIRST_RECEIVED_NAME]-&gt;(Garo)</v>
      </c>
      <c r="F17" t="s">
        <v>748</v>
      </c>
    </row>
    <row r="18" spans="1:6">
      <c r="A18" t="s">
        <v>778</v>
      </c>
      <c r="B18" t="str">
        <f>Table6[[#This Row],[Cypher]]</f>
        <v>(GaroSubgroups)-[SHARE]-&gt;(Origin)</v>
      </c>
      <c r="E18" s="16" t="s">
        <v>779</v>
      </c>
      <c r="F18" t="s">
        <v>748</v>
      </c>
    </row>
    <row r="19" spans="1:6">
      <c r="A19" t="s">
        <v>780</v>
      </c>
      <c r="B19" t="str">
        <f>Table6[[#This Row],[Cypher]]</f>
        <v>(BangaliLanguage)-[INFLUENCE_ON]-&gt;(MandiLanguage)</v>
      </c>
      <c r="D19" t="str">
        <f>Table7[[#This Row],[Member A Triple]]</f>
        <v>(BangaliLanguage)-[INFLUENCE_ON]-&gt;(MandiLanguage)</v>
      </c>
      <c r="F19" t="s">
        <v>748</v>
      </c>
    </row>
    <row r="20" spans="1:6">
      <c r="A20" t="s">
        <v>781</v>
      </c>
      <c r="B20" t="str">
        <f>Table6[[#This Row],[Cypher]]</f>
        <v>(GaroPeople)-[UNCERTAIN_KNOWLEDGE_OF]-&gt;(SpecificOrigins)</v>
      </c>
      <c r="E20" s="16" t="s">
        <v>779</v>
      </c>
      <c r="F20" t="s">
        <v>748</v>
      </c>
    </row>
    <row r="21" spans="1:6">
      <c r="A21" t="s">
        <v>782</v>
      </c>
      <c r="B21" t="str">
        <f>Table6[[#This Row],[Cypher]]</f>
        <v>(GaroEducation)-[RESULTS_IN]-&gt;(AgeUncertainty)</v>
      </c>
      <c r="E21" s="16" t="s">
        <v>783</v>
      </c>
      <c r="F21" t="s">
        <v>748</v>
      </c>
    </row>
    <row r="22" spans="1:6">
      <c r="A22" t="s">
        <v>784</v>
      </c>
      <c r="B22" t="str">
        <f>Table6[[#This Row],[Cypher]]</f>
        <v>(GaroEducation)-[RESULTS_IN]-&gt;(Illiteracy)</v>
      </c>
      <c r="E22" s="16" t="s">
        <v>783</v>
      </c>
      <c r="F22" t="s">
        <v>748</v>
      </c>
    </row>
    <row r="23" spans="1:6" ht="28.5">
      <c r="A23" t="s">
        <v>785</v>
      </c>
      <c r="B23" t="str">
        <f>Table6[[#This Row],[Cypher]]</f>
        <v>(GaroOccupation)-[IS_MOSTLY]-&gt;(Agriculture)</v>
      </c>
      <c r="C23" t="s">
        <v>786</v>
      </c>
      <c r="D23" t="str">
        <f>Table7[[#This Row],[Member B Triple]]</f>
        <v>(GaroPeople)-[WORK_IN]-&gt;(Agriculture)</v>
      </c>
      <c r="E23" s="16" t="s">
        <v>787</v>
      </c>
      <c r="F23" t="s">
        <v>748</v>
      </c>
    </row>
    <row r="24" spans="1:6">
      <c r="A24" t="s">
        <v>788</v>
      </c>
      <c r="B24" t="str">
        <f>Table6[[#This Row],[Cypher]]</f>
        <v>(GaroPeople)-[HAVE_Clear_RATES_OF]-&gt;(Illiteracy)</v>
      </c>
      <c r="C24" t="s">
        <v>789</v>
      </c>
      <c r="D24" t="str">
        <f>Table7[[#This Row],[Member A Triple]]</f>
        <v>(GaroPeople)-[HAVE_Clear_RATES_OF]-&gt;(Illiteracy)</v>
      </c>
      <c r="F24" t="s">
        <v>748</v>
      </c>
    </row>
    <row r="25" spans="1:6">
      <c r="A25" t="s">
        <v>790</v>
      </c>
      <c r="B25" t="str">
        <f>Table6[[#This Row],[Cypher]]</f>
        <v>(GaroLivelihood)-[Ambiguous_ABILITY_TO_SUSTAIN_THEIR]-&gt;(Life)</v>
      </c>
      <c r="C25" t="s">
        <v>791</v>
      </c>
      <c r="E25" s="16" t="s">
        <v>792</v>
      </c>
      <c r="F25" t="s">
        <v>748</v>
      </c>
    </row>
    <row r="26" spans="1:6">
      <c r="A26" t="s">
        <v>793</v>
      </c>
      <c r="B26" t="str">
        <f>Table6[[#This Row],[Cypher]]</f>
        <v>(GaroEducation)-[LACK_OF]-&gt;(FamilyPlanning)</v>
      </c>
      <c r="D26" t="s">
        <v>794</v>
      </c>
      <c r="F26" t="s">
        <v>748</v>
      </c>
    </row>
    <row r="27" spans="1:6" ht="28.5">
      <c r="A27" t="s">
        <v>795</v>
      </c>
      <c r="B27" t="str">
        <f>Table6[[#This Row],[Cypher]]</f>
        <v>(GaroMen)-[WEARS]-&gt;(Lungis, Genjis, Trousers, Shirts)</v>
      </c>
      <c r="D27" t="str">
        <f>Table7[[#This Row],[Member A Triple]]</f>
        <v>(GaroMen)-[WEARS]-&gt;(Lungis, Genjis, Trousers, Shirts)</v>
      </c>
      <c r="E27" s="16" t="s">
        <v>796</v>
      </c>
      <c r="F27" t="s">
        <v>748</v>
      </c>
    </row>
    <row r="28" spans="1:6">
      <c r="A28" t="s">
        <v>797</v>
      </c>
      <c r="B28" t="str">
        <f>Table6[[#This Row],[Cypher]]</f>
        <v>(GaroMen)-[WRAP_A]-&gt;(ColourfulTowel)</v>
      </c>
      <c r="E28" s="16" t="s">
        <v>798</v>
      </c>
      <c r="F28" t="s">
        <v>748</v>
      </c>
    </row>
    <row r="29" spans="1:6" ht="28.5">
      <c r="A29" t="s">
        <v>799</v>
      </c>
      <c r="B29" t="str">
        <f>Table6[[#This Row],[Cypher]]</f>
        <v>(GaroWomen)-[WEARS]-&gt;(orna, sarees, blouses, kamij, petticoats, salwars, TraditionalCostumes)</v>
      </c>
      <c r="D29" t="str">
        <f>Table7[[#This Row],[Member A Triple]]</f>
        <v>(GaroWomen)-[WEARS]-&gt;(orna, sarees, blouses, kamij, petticoats, salwars, TraditionalCostumes)</v>
      </c>
      <c r="E29" s="16" t="s">
        <v>796</v>
      </c>
      <c r="F29" t="s">
        <v>748</v>
      </c>
    </row>
    <row r="30" spans="1:6" ht="42.75">
      <c r="A30" t="s">
        <v>800</v>
      </c>
      <c r="B30" t="str">
        <f>Table6[[#This Row],[Cypher]]</f>
        <v>(GaroMen)-[WEARS]-&gt;(HalfPants, Shirts)</v>
      </c>
      <c r="E30" s="16" t="s">
        <v>801</v>
      </c>
      <c r="F30" t="s">
        <v>748</v>
      </c>
    </row>
    <row r="31" spans="1:6">
      <c r="A31" t="s">
        <v>802</v>
      </c>
      <c r="B31" t="str">
        <f>Table6[[#This Row],[Cypher]]</f>
        <v>(GaroWomen)-[TRADITIONALLY_WORE]-&gt;(SilverJewelry)</v>
      </c>
      <c r="D31" t="str">
        <f>Table7[[#This Row],[Member A Triple]]</f>
        <v>(GaroWomen)-[TRADITIONALLY_WORE]-&gt;(SilverJewelry)</v>
      </c>
      <c r="F31" t="s">
        <v>748</v>
      </c>
    </row>
    <row r="32" spans="1:6" ht="42.75">
      <c r="A32" t="s">
        <v>803</v>
      </c>
      <c r="B32" t="str">
        <f>Table6[[#This Row],[Cypher]]</f>
        <v>(GaroAttire)-[CONSISTS_OF]-&gt;(Dakmanda, Daksari, Gandu)</v>
      </c>
      <c r="E32" s="16" t="s">
        <v>804</v>
      </c>
      <c r="F32" t="s">
        <v>748</v>
      </c>
    </row>
    <row r="33" spans="1:6">
      <c r="A33" t="s">
        <v>805</v>
      </c>
      <c r="B33" t="str">
        <f>Table6[[#This Row],[Cypher]]</f>
        <v>(0)-[]-&gt;(0)</v>
      </c>
      <c r="F33" t="s">
        <v>748</v>
      </c>
    </row>
    <row r="34" spans="1:6">
      <c r="A34" t="s">
        <v>806</v>
      </c>
      <c r="B34" t="str">
        <f>Table6[[#This Row],[Cypher]]</f>
        <v>(GaroAttire)-[HAS]-&gt;(Gando, Katib, Salchak, Marang, Unpon, Riking)</v>
      </c>
      <c r="D34" t="s">
        <v>807</v>
      </c>
      <c r="E34" s="16" t="s">
        <v>808</v>
      </c>
      <c r="F34" t="s">
        <v>748</v>
      </c>
    </row>
    <row r="35" spans="1:6">
      <c r="A35" t="s">
        <v>809</v>
      </c>
      <c r="B35" t="str">
        <f>Table6[[#This Row],[Cypher]]</f>
        <v>(GaroPeople)-[PRIMARY_FOOD_IS]-&gt;(Rice)</v>
      </c>
      <c r="C35" t="s">
        <v>810</v>
      </c>
      <c r="D35" t="str">
        <f>Table7[[#This Row],[Member A Triple]]</f>
        <v>(GaroPeople)-[PRIMARY_FOOD_IS]-&gt;(Rice)</v>
      </c>
      <c r="F35" t="s">
        <v>748</v>
      </c>
    </row>
    <row r="36" spans="1:6">
      <c r="A36" t="s">
        <v>811</v>
      </c>
      <c r="B36" t="str">
        <f>Table6[[#This Row],[Cypher]]</f>
        <v>(GaroPeople)-[A_LOT_OF]-&gt;(GreenChilli, Curry)</v>
      </c>
      <c r="D36" t="s">
        <v>812</v>
      </c>
      <c r="F36" t="s">
        <v>748</v>
      </c>
    </row>
    <row r="37" spans="1:6">
      <c r="A37" t="s">
        <v>813</v>
      </c>
      <c r="B37" t="str">
        <f>Table6[[#This Row],[Cypher]]</f>
        <v>(GaroPeople)-[HAVE_ADOPTED_FOOD_HABITS]-&gt;(Bengali)</v>
      </c>
      <c r="C37" t="s">
        <v>814</v>
      </c>
      <c r="D37" t="str">
        <f>Table7[[#This Row],[Member B Triple]]</f>
        <v>(GaroPeople)-[ADOPTED]-&gt;(BengaliFoodHabits)</v>
      </c>
      <c r="F37" t="s">
        <v>748</v>
      </c>
    </row>
    <row r="38" spans="1:6">
      <c r="A38" t="s">
        <v>815</v>
      </c>
      <c r="B38" t="str">
        <f>Table6[[#This Row],[Cypher]]</f>
        <v>(GaroPeople)-[HAS_FONDNESS_FOR]-&gt;(Liquor, BambooShoots, Port, Mushrooms, Turtle)</v>
      </c>
      <c r="D38" t="str">
        <f>Table7[[#This Row],[Member A Triple]]</f>
        <v>(GaroPeople)-[HAS_FONDNESS_FOR]-&gt;(Liquor, BambooShoots, Port, Mushrooms, Turtle)</v>
      </c>
      <c r="E38" s="16" t="s">
        <v>816</v>
      </c>
      <c r="F38" t="s">
        <v>748</v>
      </c>
    </row>
    <row r="39" spans="1:6" ht="28.5">
      <c r="A39" t="s">
        <v>817</v>
      </c>
      <c r="B39" t="str">
        <f>Table6[[#This Row],[Cypher]]</f>
        <v>(GaroPeople)-[PREFERS]-&gt;(HealthyFoods)</v>
      </c>
      <c r="E39" s="16" t="s">
        <v>818</v>
      </c>
      <c r="F39" t="s">
        <v>748</v>
      </c>
    </row>
    <row r="40" spans="1:6">
      <c r="A40" t="s">
        <v>819</v>
      </c>
      <c r="B40" t="str">
        <f>Table6[[#This Row],[Cypher]]</f>
        <v>(GaroCommunity)-[USED_TO]-&gt;(Younger)</v>
      </c>
      <c r="D40" t="s">
        <v>820</v>
      </c>
    </row>
    <row r="41" spans="1:6">
      <c r="A41" t="s">
        <v>821</v>
      </c>
      <c r="B41" t="str">
        <f>Table6[[#This Row],[Cypher]]</f>
        <v>(GaroFood)-[HAS_EVOLVED]-&gt;(LocalPopulation)</v>
      </c>
      <c r="C41" t="s">
        <v>822</v>
      </c>
      <c r="D41" t="str">
        <f>Table7[[#This Row],[Member B Triple]]</f>
        <v>(GaroFoodHabits)-[UNDERGO]-&gt;(Change)</v>
      </c>
      <c r="F41" t="s">
        <v>748</v>
      </c>
    </row>
    <row r="42" spans="1:6">
      <c r="A42" t="s">
        <v>823</v>
      </c>
      <c r="B42" t="str">
        <f>Table6[[#This Row],[Cypher]]</f>
        <v>(GaroCommunity)-[NO_LONGER_DRINKS_ALCOHOL]-&gt;(ChristianValues)</v>
      </c>
      <c r="D42" t="str">
        <f>Table7[[#This Row],[Member A Triple]]</f>
        <v>(GaroCommunity)-[NO_LONGER_DRINKS_ALCOHOL]-&gt;(ChristianValues)</v>
      </c>
      <c r="F42" t="s">
        <v>748</v>
      </c>
    </row>
    <row r="43" spans="1:6" ht="28.5">
      <c r="A43" t="s">
        <v>824</v>
      </c>
      <c r="B43" t="str">
        <f>Table6[[#This Row],[Cypher]]</f>
        <v>(GaroCommunity)-[FAVOURITE_DISHES_INCLUDE]-&gt;(DriedFish, Pork, Rabbit, Chicken)</v>
      </c>
      <c r="D43" t="str">
        <f>Table7[[#This Row],[Member A Triple]]</f>
        <v>(GaroCommunity)-[FAVOURITE_DISHES_INCLUDE]-&gt;(DriedFish, Pork, Rabbit, Chicken)</v>
      </c>
      <c r="E43" s="16" t="s">
        <v>825</v>
      </c>
      <c r="F43" t="s">
        <v>748</v>
      </c>
    </row>
    <row r="44" spans="1:6" ht="28.5">
      <c r="A44" t="s">
        <v>826</v>
      </c>
      <c r="B44" t="str">
        <f>Table6[[#This Row],[Cypher]]</f>
        <v>(Chu)-[IS_AN_IMPORTANT_PART_OF]-&gt;(Program, Event)</v>
      </c>
      <c r="C44" t="s">
        <v>827</v>
      </c>
      <c r="D44" t="s">
        <v>828</v>
      </c>
      <c r="E44" s="16" t="s">
        <v>829</v>
      </c>
      <c r="F44" t="s">
        <v>748</v>
      </c>
    </row>
    <row r="45" spans="1:6">
      <c r="A45" t="s">
        <v>830</v>
      </c>
      <c r="B45" t="str">
        <f>Table6[[#This Row],[Cypher]]</f>
        <v>(GaroHouses)-[ARE]-&gt;(Simple)</v>
      </c>
      <c r="F45" t="s">
        <v>748</v>
      </c>
    </row>
    <row r="46" spans="1:6">
      <c r="A46" t="s">
        <v>831</v>
      </c>
      <c r="B46" t="str">
        <f>Table6[[#This Row],[Cypher]]</f>
        <v>(GaroHousehold)-[HAVE_WOODEN]-&gt;(Chairs, Tables, Stools, Wardrobes, SteelAlmirahs)</v>
      </c>
      <c r="D46" t="str">
        <f>Table7[[#This Row],[Member A Triple]]</f>
        <v>(GaroHousehold)-[HAVE_WOODEN]-&gt;(Chairs, Tables, Stools, Wardrobes, SteelAlmirahs)</v>
      </c>
      <c r="F46" t="s">
        <v>748</v>
      </c>
    </row>
    <row r="47" spans="1:6">
      <c r="A47" t="s">
        <v>832</v>
      </c>
      <c r="B47" t="str">
        <f>Table6[[#This Row],[Cypher]]</f>
        <v>(GaroHousehold)-[EVOLVED_FROM_EARTHENWARE_TO]-&gt;(Metal)</v>
      </c>
      <c r="D47" t="str">
        <f>Table7[[#This Row],[Member A Triple]]</f>
        <v>(GaroHousehold)-[EVOLVED_FROM_EARTHENWARE_TO]-&gt;(Metal)</v>
      </c>
      <c r="F47" t="s">
        <v>748</v>
      </c>
    </row>
    <row r="48" spans="1:6">
      <c r="A48" t="s">
        <v>833</v>
      </c>
      <c r="B48" t="str">
        <f>Table6[[#This Row],[Cypher]]</f>
        <v>(GaroCommuninity)-[USE_DIFFERENT]-&gt;(Baskets)</v>
      </c>
      <c r="D48" t="s">
        <v>820</v>
      </c>
      <c r="F48" t="s">
        <v>748</v>
      </c>
    </row>
    <row r="49" spans="1:6" ht="28.5">
      <c r="A49" t="s">
        <v>834</v>
      </c>
      <c r="B49" t="str">
        <f>Table6[[#This Row],[Cypher]]</f>
        <v>(GaroCommunity)-[NOW_BUILDS]-&gt;(Tin, Wood, ModernMaterials)</v>
      </c>
      <c r="C49" t="s">
        <v>835</v>
      </c>
      <c r="D49" t="s">
        <v>828</v>
      </c>
      <c r="E49" s="16" t="s">
        <v>836</v>
      </c>
      <c r="F49" t="s">
        <v>748</v>
      </c>
    </row>
    <row r="50" spans="1:6" ht="28.5">
      <c r="A50" t="s">
        <v>837</v>
      </c>
      <c r="B50" t="str">
        <f>Table6[[#This Row],[Cypher]]</f>
        <v>(GaroPeople)-[DO_NOT_HAVE_GOOD_ACCESS_TO]-&gt;(Helathcare)</v>
      </c>
      <c r="C50" t="s">
        <v>838</v>
      </c>
      <c r="D50" t="s">
        <v>828</v>
      </c>
      <c r="E50" s="16" t="s">
        <v>836</v>
      </c>
      <c r="F50" t="s">
        <v>748</v>
      </c>
    </row>
    <row r="51" spans="1:6">
      <c r="A51" t="s">
        <v>839</v>
      </c>
      <c r="B51" t="str">
        <f>Table6[[#This Row],[Cypher]]</f>
        <v>(GaroCommunity)-[NOW_USE_TIN_FOR]-&gt;(Improvements)</v>
      </c>
      <c r="E51" s="16" t="s">
        <v>840</v>
      </c>
      <c r="F51" t="s">
        <v>748</v>
      </c>
    </row>
    <row r="52" spans="1:6">
      <c r="A52" t="s">
        <v>841</v>
      </c>
      <c r="B52" t="str">
        <f>Table6[[#This Row],[Cypher]]</f>
        <v>(GaroCommunity)-[TRADITIONALLY_CELEBRATE]-&gt;(Festivals)</v>
      </c>
      <c r="D52" t="str">
        <f>Table7[[#This Row],[Member A Triple]]</f>
        <v>(GaroCommunity)-[TRADITIONALLY_CELEBRATE]-&gt;(Festivals)</v>
      </c>
      <c r="F52" t="s">
        <v>748</v>
      </c>
    </row>
    <row r="53" spans="1:6">
      <c r="A53" t="s">
        <v>842</v>
      </c>
      <c r="B53" t="str">
        <f>Table6[[#This Row],[Cypher]]</f>
        <v>(GaroCommunity)-[NO_LONGER_DEPENDENT]-&gt;(JhumCultivation)</v>
      </c>
      <c r="D53" t="str">
        <f>Table7[[#This Row],[Member A Triple]]</f>
        <v>(GaroCommunity)-[NO_LONGER_DEPENDENT]-&gt;(JhumCultivation)</v>
      </c>
      <c r="F53" t="s">
        <v>748</v>
      </c>
    </row>
    <row r="54" spans="1:6" ht="28.5">
      <c r="A54" t="s">
        <v>843</v>
      </c>
      <c r="B54" t="str">
        <f>Table6[[#This Row],[Cypher]]</f>
        <v>(GaroCommunity)-[NOW_CELEBRATES]-&gt;(Wangala, Christmas)</v>
      </c>
      <c r="C54" t="s">
        <v>844</v>
      </c>
      <c r="D54" t="str">
        <f>Table7[[#This Row],[Member A Triple]]</f>
        <v>(GaroCommunity)-[NOW_CELEBRATES]-&gt;(Wangala, Christmas)</v>
      </c>
      <c r="E54" s="16" t="s">
        <v>845</v>
      </c>
      <c r="F54" t="s">
        <v>748</v>
      </c>
    </row>
    <row r="55" spans="1:6">
      <c r="A55" t="s">
        <v>846</v>
      </c>
      <c r="B55" t="str">
        <f>Table6[[#This Row],[Cypher]]</f>
        <v>(WangalaFestival)-[IS_THE_MOST_SIGNIFICANT]-&gt;(GaroFestival)</v>
      </c>
      <c r="D55" t="str">
        <f>Table7[[#This Row],[Member A Triple]]</f>
        <v>(WangalaFestival)-[IS_THE_MOST_SIGNIFICANT]-&gt;(GaroFestival)</v>
      </c>
      <c r="F55" t="s">
        <v>748</v>
      </c>
    </row>
    <row r="56" spans="1:6">
      <c r="A56" t="s">
        <v>847</v>
      </c>
      <c r="B56" t="str">
        <f>Table6[[#This Row],[Cypher]]</f>
        <v>(WangalaFestival)-[IS_A]-&gt;(ThanksgivingRitual)</v>
      </c>
      <c r="D56" t="str">
        <f>Table7[[#This Row],[Member A Triple]]</f>
        <v>(WangalaFestival)-[IS_A]-&gt;(ThanksgivingRitual)</v>
      </c>
      <c r="F56" t="s">
        <v>748</v>
      </c>
    </row>
    <row r="57" spans="1:6">
      <c r="A57" t="s">
        <v>848</v>
      </c>
      <c r="B57" t="str">
        <f>Table6[[#This Row],[Cypher]]</f>
        <v>(RugalaRitual)-[IS_PERFORMED_BEFORE]-&gt;(Wangala, Nokma)</v>
      </c>
      <c r="D57" t="str">
        <f>Table7[[#This Row],[Member A Triple]]</f>
        <v>(RugalaRitual)-[IS_PERFORMED_BEFORE]-&gt;(Wangala, Nokma)</v>
      </c>
      <c r="F57" t="s">
        <v>748</v>
      </c>
    </row>
    <row r="58" spans="1:6">
      <c r="A58" t="s">
        <v>849</v>
      </c>
      <c r="B58" t="str">
        <f>Table6[[#This Row],[Cypher]]</f>
        <v>(ChatsoCeremony)-[IS_PERFORMED_BY]-&gt;(Nokma)</v>
      </c>
      <c r="D58" t="str">
        <f>Table7[[#This Row],[Member A Triple]]</f>
        <v>(ChatsoCeremony)-[IS_PERFORMED_BY]-&gt;(Nokma)</v>
      </c>
      <c r="F58" t="s">
        <v>748</v>
      </c>
    </row>
    <row r="59" spans="1:6" ht="28.5">
      <c r="A59" t="s">
        <v>850</v>
      </c>
      <c r="B59" t="str">
        <f>Table6[[#This Row],[Cypher]]</f>
        <v>(GaroCommunity)-[ATTENDS]-&gt;(Church, ChristmasDay)</v>
      </c>
      <c r="D59" t="s">
        <v>820</v>
      </c>
      <c r="E59" s="16" t="s">
        <v>851</v>
      </c>
      <c r="F59" t="s">
        <v>748</v>
      </c>
    </row>
    <row r="60" spans="1:6">
      <c r="A60" t="s">
        <v>852</v>
      </c>
      <c r="B60" t="str">
        <f>Table6[[#This Row],[Cypher]]</f>
        <v>(ChristmasDay)-[IS_A]-&gt;(Holiday)</v>
      </c>
      <c r="D60" t="str">
        <f>Table7[[#This Row],[Member A Triple]]</f>
        <v>(ChristmasDay)-[IS_A]-&gt;(Holiday)</v>
      </c>
      <c r="F60" t="s">
        <v>748</v>
      </c>
    </row>
    <row r="61" spans="1:6">
      <c r="A61" t="s">
        <v>853</v>
      </c>
      <c r="B61" t="str">
        <f>Table6[[#This Row],[Cypher]]</f>
        <v>(GaroCommunity)-[EXCHANGES]-&gt;(Greetings, Sweets)</v>
      </c>
      <c r="D61" t="s">
        <v>854</v>
      </c>
      <c r="F61" t="s">
        <v>748</v>
      </c>
    </row>
    <row r="62" spans="1:6">
      <c r="A62" t="s">
        <v>855</v>
      </c>
      <c r="B62" t="str">
        <f>Table6[[#This Row],[Cypher]]</f>
        <v>(GaroCommunity)-[PREFERS]-&gt;(Wangala)</v>
      </c>
      <c r="D62" t="str">
        <f>Table7[[#This Row],[Member A Triple]]</f>
        <v>(GaroCommunity)-[PREFERS]-&gt;(Wangala)</v>
      </c>
      <c r="F62" t="s">
        <v>748</v>
      </c>
    </row>
    <row r="63" spans="1:6">
      <c r="A63" t="s">
        <v>856</v>
      </c>
      <c r="B63" t="str">
        <f>Table6[[#This Row],[Cypher]]</f>
        <v>(0)-[]-&gt;(0)</v>
      </c>
      <c r="F63" t="s">
        <v>748</v>
      </c>
    </row>
    <row r="64" spans="1:6">
      <c r="A64" t="s">
        <v>857</v>
      </c>
      <c r="B64" t="str">
        <f>Table6[[#This Row],[Cypher]]</f>
        <v>(Wangala)-[IS_ORGANISED_BY]-&gt;(Leaders)</v>
      </c>
      <c r="D64" t="str">
        <f>Table7[[#This Row],[Member A Triple]]</f>
        <v>(Wangala)-[IS_ORGANISED_BY]-&gt;(Leaders)</v>
      </c>
      <c r="F64" t="s">
        <v>748</v>
      </c>
    </row>
    <row r="65" spans="1:6" ht="42.75">
      <c r="A65" t="s">
        <v>858</v>
      </c>
      <c r="B65" t="str">
        <f>Table6[[#This Row],[Cypher]]</f>
        <v>(GaroCommunity)-[HAS_UNDERGONE_CHANGES_DUE_TO]-&gt;(Christianity)</v>
      </c>
      <c r="C65" t="s">
        <v>859</v>
      </c>
      <c r="D65" t="str">
        <f>Table7[[#This Row],[Member A Triple]]</f>
        <v>(GaroCommunity)-[HAS_UNDERGONE_CHANGES_DUE_TO]-&gt;(Christianity)</v>
      </c>
      <c r="E65" s="16" t="s">
        <v>860</v>
      </c>
      <c r="F65" t="s">
        <v>748</v>
      </c>
    </row>
    <row r="66" spans="1:6">
      <c r="A66" t="s">
        <v>861</v>
      </c>
      <c r="B66" t="str">
        <f>Table6[[#This Row],[Cypher]]</f>
        <v>(GaroCommunity)-[NOW_CELEBRATES]-&gt;(Christmas)</v>
      </c>
      <c r="E66" s="16" t="s">
        <v>798</v>
      </c>
      <c r="F66" t="s">
        <v>748</v>
      </c>
    </row>
    <row r="67" spans="1:6">
      <c r="A67" t="s">
        <v>862</v>
      </c>
      <c r="B67" t="str">
        <f>Table6[[#This Row],[Cypher]]</f>
        <v>(GaroCommunity)-[IS]-&gt;(Disappearing)</v>
      </c>
      <c r="C67" t="s">
        <v>863</v>
      </c>
      <c r="D67" t="str">
        <f>Table7[[#This Row],[Member B Triple]]</f>
        <v>(GaroTraditionalLife)-[IS_UNDER]-&gt;(Threat)</v>
      </c>
      <c r="F67" t="s">
        <v>748</v>
      </c>
    </row>
    <row r="68" spans="1:6">
      <c r="A68" t="s">
        <v>864</v>
      </c>
      <c r="B68" t="str">
        <f>Table6[[#This Row],[Cypher]]</f>
        <v>(Sangsarek)-[IS_THE]-&gt;(TraditionalReligion)</v>
      </c>
      <c r="C68" t="s">
        <v>865</v>
      </c>
      <c r="D68" t="str">
        <f>Table7[[#This Row],[Member A Triple]]</f>
        <v>(Sangsarek)-[IS_THE]-&gt;(TraditionalReligion)</v>
      </c>
      <c r="F68" t="s">
        <v>748</v>
      </c>
    </row>
    <row r="69" spans="1:6">
      <c r="A69" t="s">
        <v>866</v>
      </c>
      <c r="B69" t="str">
        <f>Table6[[#This Row],[Cypher]]</f>
        <v>(Sangsarek)-[INVOLVES_WORSHIP_OF]-&gt;(Forces, Gods)</v>
      </c>
      <c r="D69" t="str">
        <f>Table7[[#This Row],[Member A Triple]]</f>
        <v>(Sangsarek)-[INVOLVES_WORSHIP_OF]-&gt;(Forces, Gods)</v>
      </c>
      <c r="F69" t="s">
        <v>748</v>
      </c>
    </row>
    <row r="70" spans="1:6">
      <c r="A70" t="s">
        <v>867</v>
      </c>
      <c r="B70" t="str">
        <f>Table6[[#This Row],[Cypher]]</f>
        <v>(GaroPeople)-[HAVE_FAITH_IN]-&gt;(Sun, Stars, Moon, Thunder, Rain)</v>
      </c>
      <c r="D70" t="str">
        <f>Table7[[#This Row],[Member A Triple]]</f>
        <v>(GaroPeople)-[HAVE_FAITH_IN]-&gt;(Sun, Stars, Moon, Thunder, Rain)</v>
      </c>
      <c r="F70" t="s">
        <v>748</v>
      </c>
    </row>
    <row r="71" spans="1:6">
      <c r="A71" t="s">
        <v>868</v>
      </c>
      <c r="B71" t="str">
        <f>Table6[[#This Row],[Cypher]]</f>
        <v>(GaroPeople)-[BELIEVE_IN_A]-&gt;(SupremeGod)</v>
      </c>
      <c r="D71" t="str">
        <f>Table7[[#This Row],[Member A Triple]]</f>
        <v>(GaroPeople)-[BELIEVE_IN_A]-&gt;(SupremeGod)</v>
      </c>
      <c r="F71" t="s">
        <v>748</v>
      </c>
    </row>
    <row r="72" spans="1:6">
      <c r="A72" t="s">
        <v>869</v>
      </c>
      <c r="B72" t="str">
        <f>Table6[[#This Row],[Cypher]]</f>
        <v>(GaroPeople)-[BELIEVE_IN_TRANSMIGRATION_OF]-&gt;(Souls)</v>
      </c>
      <c r="C72" t="s">
        <v>870</v>
      </c>
      <c r="D72" t="str">
        <f>Table7[[#This Row],[Member A Triple]]</f>
        <v>(GaroPeople)-[BELIEVE_IN_TRANSMIGRATION_OF]-&gt;(Souls)</v>
      </c>
      <c r="E72" s="16" t="s">
        <v>871</v>
      </c>
      <c r="F72" t="s">
        <v>748</v>
      </c>
    </row>
    <row r="73" spans="1:6">
      <c r="A73" t="s">
        <v>872</v>
      </c>
      <c r="B73" t="str">
        <f>Table6[[#This Row],[Cypher]]</f>
        <v>(DepartedSouls)-[TRAVEL_TO]-&gt;(MongSangram, Chikmang)</v>
      </c>
      <c r="D73" t="str">
        <f>Table7[[#This Row],[Member A Triple]]</f>
        <v>(DepartedSouls)-[TRAVEL_TO]-&gt;(MongSangram, Chikmang)</v>
      </c>
      <c r="F73" t="s">
        <v>748</v>
      </c>
    </row>
    <row r="74" spans="1:6">
      <c r="A74" t="s">
        <v>873</v>
      </c>
      <c r="B74" t="str">
        <f>Table6[[#This Row],[Cypher]]</f>
        <v>(DepartedSouls)-[REST_AT]-&gt;(MissalCharms)</v>
      </c>
      <c r="D74" t="str">
        <f>Table7[[#This Row],[Member A Triple]]</f>
        <v>(DepartedSouls)-[REST_AT]-&gt;(MissalCharms)</v>
      </c>
      <c r="F74" t="s">
        <v>748</v>
      </c>
    </row>
    <row r="75" spans="1:6">
      <c r="A75" t="s">
        <v>874</v>
      </c>
      <c r="B75" t="str">
        <f>Table6[[#This Row],[Cypher]]</f>
        <v>(GaroPeoplesSpirit)-[IS_VIRTUOUS]-&gt;(Animal, Tree)</v>
      </c>
      <c r="D75" t="str">
        <f>Table7[[#This Row],[Member A Triple]]</f>
        <v>(GaroPeoplesSpirit)-[IS_VIRTUOUS]-&gt;(Animal, Tree)</v>
      </c>
      <c r="F75" t="s">
        <v>748</v>
      </c>
    </row>
    <row r="76" spans="1:6">
      <c r="A76" t="s">
        <v>875</v>
      </c>
      <c r="B76" t="str">
        <f>Table6[[#This Row],[Cypher]]</f>
        <v>(GaroPeople)-[DIE_WITH_DEBT]-&gt;(Dog)</v>
      </c>
      <c r="D76" t="str">
        <f>Table7[[#This Row],[Member A Triple]]</f>
        <v>(GaroPeople)-[DIE_WITH_DEBT]-&gt;(Dog)</v>
      </c>
      <c r="F76" t="s">
        <v>748</v>
      </c>
    </row>
    <row r="77" spans="1:6">
      <c r="A77" t="s">
        <v>876</v>
      </c>
      <c r="B77" t="str">
        <f>Table6[[#This Row],[Cypher]]</f>
        <v>(GaroPeople)-[COMMIT_SUICIDE_OR_ARE_KILLED_BY_A_WILD_ANIMAL]-&gt;(Ghost, EvilSpirit)</v>
      </c>
      <c r="D77" t="str">
        <f>Table7[[#This Row],[Member A Triple]]</f>
        <v>(GaroPeople)-[COMMIT_SUICIDE_OR_ARE_KILLED_BY_A_WILD_ANIMAL]-&gt;(Ghost, EvilSpirit)</v>
      </c>
      <c r="F77" t="s">
        <v>748</v>
      </c>
    </row>
    <row r="78" spans="1:6">
      <c r="A78" t="s">
        <v>877</v>
      </c>
      <c r="B78" t="str">
        <f>Table6[[#This Row],[Cypher]]</f>
        <v>(GaroCommunity)-[WORSHIPSS]-&gt;(Tartara, Saljong, Susime, Calcame)</v>
      </c>
      <c r="D78" t="str">
        <f>Table7[[#This Row],[Member A Triple]]</f>
        <v>(GaroCommunity)-[WORSHIPSS]-&gt;(Tartara, Saljong, Susime, Calcame)</v>
      </c>
      <c r="F78" t="s">
        <v>748</v>
      </c>
    </row>
    <row r="79" spans="1:6">
      <c r="A79" t="s">
        <v>878</v>
      </c>
      <c r="B79" t="str">
        <f>Table6[[#This Row],[Cypher]]</f>
        <v>(GaroCommunity)-[BELIEVE_KHAMAL]-&gt;(Help, Treatment)</v>
      </c>
      <c r="D79" t="str">
        <f>Table7[[#This Row],[Member A Triple]]</f>
        <v>(GaroCommunity)-[BELIEVE_KHAMAL]-&gt;(Help, Treatment)</v>
      </c>
      <c r="F79" t="s">
        <v>748</v>
      </c>
    </row>
    <row r="80" spans="1:6">
      <c r="A80" t="s">
        <v>879</v>
      </c>
      <c r="B80" t="str">
        <f>Table6[[#This Row],[Cypher]]</f>
        <v>(GaroPeople)-[BELIEVED_IN_SPIRITS_DWELLING]-&gt;(Trees, Stones, Hills)</v>
      </c>
      <c r="D80" t="str">
        <f>Table7[[#This Row],[Member A Triple]]</f>
        <v>(GaroPeople)-[BELIEVED_IN_SPIRITS_DWELLING]-&gt;(Trees, Stones, Hills)</v>
      </c>
      <c r="F80" t="s">
        <v>748</v>
      </c>
    </row>
    <row r="81" spans="1:6" ht="28.5">
      <c r="A81" t="s">
        <v>880</v>
      </c>
      <c r="B81" t="str">
        <f>Table6[[#This Row],[Cypher]]</f>
        <v>(GaroCommunity)-[CONVERTED_TO]-&gt;(Christianity)</v>
      </c>
      <c r="C81" t="s">
        <v>881</v>
      </c>
      <c r="D81" t="s">
        <v>828</v>
      </c>
      <c r="E81" s="16" t="s">
        <v>836</v>
      </c>
      <c r="F81" t="s">
        <v>748</v>
      </c>
    </row>
    <row r="82" spans="1:6">
      <c r="A82" t="s">
        <v>882</v>
      </c>
      <c r="B82" t="str">
        <f>Table6[[#This Row],[Cypher]]</f>
        <v>(0)-[]-&gt;(0)</v>
      </c>
      <c r="F82" t="s">
        <v>748</v>
      </c>
    </row>
    <row r="83" spans="1:6">
      <c r="A83" t="s">
        <v>883</v>
      </c>
      <c r="B83" t="str">
        <f>Table6[[#This Row],[Cypher]]</f>
        <v>(0)-[]-&gt;(0)</v>
      </c>
      <c r="F83" t="s">
        <v>748</v>
      </c>
    </row>
    <row r="84" spans="1:6">
      <c r="A84" t="s">
        <v>884</v>
      </c>
      <c r="B84" t="str">
        <f>Table6[[#This Row],[Cypher]]</f>
        <v>(GaroCommunity)-[HAVE_MOSTLY_EMBRACED]-&gt;(Christianity)</v>
      </c>
      <c r="C84" t="s">
        <v>881</v>
      </c>
      <c r="D84" t="str">
        <f>Table7[[#This Row],[Member A Triple]]</f>
        <v>(GaroCommunity)-[HAVE_MOSTLY_EMBRACED]-&gt;(Christianity)</v>
      </c>
      <c r="F84" t="s">
        <v>748</v>
      </c>
    </row>
    <row r="85" spans="1:6">
      <c r="A85" t="s">
        <v>885</v>
      </c>
      <c r="B85" t="str">
        <f>Table6[[#This Row],[Cypher]]</f>
        <v>(GaroCommunity)-[DISREGARDS]-&gt;(TraditionalCustoms)</v>
      </c>
      <c r="E85" s="16" t="s">
        <v>886</v>
      </c>
      <c r="F85" t="s">
        <v>748</v>
      </c>
    </row>
    <row r="86" spans="1:6">
      <c r="A86" t="s">
        <v>887</v>
      </c>
      <c r="B86" t="str">
        <f>Table6[[#This Row],[Cypher]]</f>
        <v>(GaroCommunity)-[IS_IN]-&gt;(GoodShape)</v>
      </c>
      <c r="E86" s="16" t="s">
        <v>886</v>
      </c>
      <c r="F86" t="s">
        <v>748</v>
      </c>
    </row>
    <row r="87" spans="1:6">
      <c r="A87" t="s">
        <v>888</v>
      </c>
      <c r="B87" t="str">
        <f>Table6[[#This Row],[Cypher]]</f>
        <v>(GaroPeople)-[ATTRIBUTE_ILLNESSES_TO]-&gt;(DispleasingGod, Curse)</v>
      </c>
      <c r="D87" t="str">
        <f>Table7[[#This Row],[Member A Triple]]</f>
        <v>(GaroPeople)-[ATTRIBUTE_ILLNESSES_TO]-&gt;(DispleasingGod, Curse)</v>
      </c>
      <c r="F87" t="s">
        <v>748</v>
      </c>
    </row>
    <row r="88" spans="1:6">
      <c r="A88" t="s">
        <v>889</v>
      </c>
      <c r="B88" t="str">
        <f>Table6[[#This Row],[Cypher]]</f>
        <v>(GaroPeople)-[OFFER_SACRIFICES_TO]-&gt;(Sprirts)</v>
      </c>
      <c r="D88" t="str">
        <f>Table7[[#This Row],[Member A Triple]]</f>
        <v>(GaroPeople)-[OFFER_SACRIFICES_TO]-&gt;(Sprirts)</v>
      </c>
      <c r="F88" t="s">
        <v>748</v>
      </c>
    </row>
    <row r="89" spans="1:6">
      <c r="A89" t="s">
        <v>890</v>
      </c>
      <c r="B89" t="str">
        <f>Table6[[#This Row],[Cypher]]</f>
        <v>(GaroCommunity)-[CONSUMES]-&gt;(Vegetables, Wine)</v>
      </c>
      <c r="D89" t="str">
        <f>Table7[[#This Row],[Member A Triple]]</f>
        <v>(GaroCommunity)-[CONSUMES]-&gt;(Vegetables, Wine)</v>
      </c>
      <c r="F89" t="s">
        <v>748</v>
      </c>
    </row>
    <row r="90" spans="1:6">
      <c r="A90" t="s">
        <v>891</v>
      </c>
      <c r="B90" t="str">
        <f>Table6[[#This Row],[Cypher]]</f>
        <v>(GaroPeople)-[LACK_ACCESS_TO]-&gt;(Healthcare)</v>
      </c>
      <c r="C90" t="s">
        <v>892</v>
      </c>
      <c r="D90" t="str">
        <f>Table7[[#This Row],[Member B Triple]]</f>
        <v>(GaroPeople)-[LACK_ACCESS_TO]-&gt;(Healthcare)</v>
      </c>
      <c r="F90" t="s">
        <v>748</v>
      </c>
    </row>
    <row r="91" spans="1:6">
      <c r="A91" t="s">
        <v>893</v>
      </c>
      <c r="B91" t="str">
        <f>Table6[[#This Row],[Cypher]]</f>
        <v>(GaroPeople)-[TRAVEL_LONG_DISTANCE_TO_ACCESS]-&gt;(Hospital, MedicalCare)</v>
      </c>
      <c r="D91" t="str">
        <f>Table7[[#This Row],[Member A Triple]]</f>
        <v>(GaroPeople)-[TRAVEL_LONG_DISTANCE_TO_ACCESS]-&gt;(Hospital, MedicalCare)</v>
      </c>
      <c r="F91" t="s">
        <v>748</v>
      </c>
    </row>
    <row r="92" spans="1:6">
      <c r="A92" t="s">
        <v>894</v>
      </c>
      <c r="B92" t="str">
        <f>Table6[[#This Row],[Cypher]]</f>
        <v>(GaroCommunity)-[LACK_ADEQUATE]-&gt;(MedicalFacilities)</v>
      </c>
      <c r="D92" t="str">
        <f>Table7[[#This Row],[Member A Triple]]</f>
        <v>(GaroCommunity)-[LACK_ADEQUATE]-&gt;(MedicalFacilities)</v>
      </c>
      <c r="F92" t="s">
        <v>748</v>
      </c>
    </row>
    <row r="93" spans="1:6">
      <c r="A93" t="s">
        <v>895</v>
      </c>
      <c r="B93" t="str">
        <f>Table6[[#This Row],[Cypher]]</f>
        <v>(0)-[]-&gt;(0)</v>
      </c>
      <c r="F93" t="s">
        <v>748</v>
      </c>
    </row>
    <row r="94" spans="1:6">
      <c r="A94" t="s">
        <v>896</v>
      </c>
      <c r="B94" t="str">
        <f>Table6[[#This Row],[Cypher]]</f>
        <v>(GaroCommunity)-[RECEIVED_TRAINING]-&gt;(Missionaries, Government)</v>
      </c>
      <c r="D94" t="s">
        <v>897</v>
      </c>
      <c r="E94" s="16" t="s">
        <v>898</v>
      </c>
      <c r="F94" t="s">
        <v>748</v>
      </c>
    </row>
    <row r="95" spans="1:6">
      <c r="A95" t="s">
        <v>899</v>
      </c>
      <c r="B95" t="str">
        <f>Table6[[#This Row],[Cypher]]</f>
        <v>(0)-[]-&gt;(0)</v>
      </c>
      <c r="F95" t="s">
        <v>748</v>
      </c>
    </row>
    <row r="96" spans="1:6">
      <c r="A96" t="s">
        <v>900</v>
      </c>
      <c r="B96" t="str">
        <f>Table6[[#This Row],[Cypher]]</f>
        <v>(GaroCommunity)-[DUE_TO]-&gt;(Ignorance)</v>
      </c>
      <c r="F96" t="s">
        <v>748</v>
      </c>
    </row>
    <row r="97" spans="1:6">
      <c r="A97" t="s">
        <v>901</v>
      </c>
      <c r="B97" t="str">
        <f>Table6[[#This Row],[Cypher]]</f>
        <v>(JhumCultivation)-[PRACTICED_FOR_OVER]-&gt;(4000Years)</v>
      </c>
      <c r="D97" t="str">
        <f>Table7[[#This Row],[Member A Triple]]</f>
        <v>(JhumCultivation)-[PRACTICED_FOR_OVER]-&gt;(4000Years)</v>
      </c>
      <c r="F97" t="s">
        <v>748</v>
      </c>
    </row>
    <row r="98" spans="1:6">
      <c r="A98" t="s">
        <v>902</v>
      </c>
      <c r="B98" t="str">
        <f>Table6[[#This Row],[Cypher]]</f>
        <v>(GaroCommunity)-[HAVE_STARTED_ENGAGING]-&gt;(Fishing, OtherProfessions)</v>
      </c>
      <c r="D98" t="str">
        <f>Table7[[#This Row],[Member A Triple]]</f>
        <v>(GaroCommunity)-[HAVE_STARTED_ENGAGING]-&gt;(Fishing, OtherProfessions)</v>
      </c>
      <c r="F98" t="s">
        <v>748</v>
      </c>
    </row>
    <row r="99" spans="1:6">
      <c r="A99" t="s">
        <v>903</v>
      </c>
      <c r="B99" t="str">
        <f>Table6[[#This Row],[Cypher]]</f>
        <v>(GaroPeople)-[HAVE_DIVERSIFIED_INTO]-&gt;(Teaching, Employment, Business)</v>
      </c>
      <c r="D99" t="str">
        <f>Table7[[#This Row],[Member A Triple]]</f>
        <v>(GaroPeople)-[HAVE_DIVERSIFIED_INTO]-&gt;(Teaching, Employment, Business)</v>
      </c>
      <c r="F99" t="s">
        <v>748</v>
      </c>
    </row>
    <row r="100" spans="1:6">
      <c r="A100" t="s">
        <v>904</v>
      </c>
      <c r="B100" t="str">
        <f>Table6[[#This Row],[Cypher]]</f>
        <v>(GaroPeople)-[HAVE_MIGRATED_TO]-&gt;(Cities, BetterPay)</v>
      </c>
      <c r="D100" t="str">
        <f>Table7[[#This Row],[Member A Triple]]</f>
        <v>(GaroPeople)-[HAVE_MIGRATED_TO]-&gt;(Cities, BetterPay)</v>
      </c>
      <c r="F100" t="s">
        <v>748</v>
      </c>
    </row>
    <row r="101" spans="1:6">
      <c r="A101" t="s">
        <v>905</v>
      </c>
      <c r="B101" t="str">
        <f>Table6[[#This Row],[Cypher]]</f>
        <v>(GaroPeople)-[PRIMARY_OCCUPATION_IS]-&gt;(Farming)</v>
      </c>
      <c r="C101" t="s">
        <v>906</v>
      </c>
      <c r="D101" t="str">
        <f>Table7[[#This Row],[Member A Triple]]</f>
        <v>(GaroPeople)-[PRIMARY_OCCUPATION_IS]-&gt;(Farming)</v>
      </c>
      <c r="E101" s="16" t="s">
        <v>907</v>
      </c>
      <c r="F101" t="s">
        <v>748</v>
      </c>
    </row>
    <row r="102" spans="1:6">
      <c r="A102" t="s">
        <v>908</v>
      </c>
      <c r="B102" t="str">
        <f>Table6[[#This Row],[Cypher]]</f>
        <v>(GaroCommunity)-[HAS_INCREASING_RURAL_URBAN]-&gt;(Migration)</v>
      </c>
      <c r="D102" t="str">
        <f>Table7[[#This Row],[Member A Triple]]</f>
        <v>(GaroCommunity)-[HAS_INCREASING_RURAL_URBAN]-&gt;(Migration)</v>
      </c>
      <c r="F102" t="s">
        <v>748</v>
      </c>
    </row>
    <row r="103" spans="1:6">
      <c r="A103" t="s">
        <v>909</v>
      </c>
      <c r="B103" t="str">
        <f>Table6[[#This Row],[Cypher]]</f>
        <v>(GaroCommunity)-[FOLAmbiguous_A_MATRILINEAL_SYSTEM_GRANTING]-&gt;(WomenAuthority)</v>
      </c>
      <c r="E103" s="16" t="s">
        <v>907</v>
      </c>
      <c r="F103" t="s">
        <v>748</v>
      </c>
    </row>
    <row r="104" spans="1:6">
      <c r="A104" t="s">
        <v>910</v>
      </c>
      <c r="B104" t="str">
        <f>Table6[[#This Row],[Cypher]]</f>
        <v>(MatrilinealSystem)-[IS_DECLINING_AND_LAND_OWNERSHIP_IS_BECOMING]-&gt;(EquallyShared)</v>
      </c>
      <c r="D104" t="s">
        <v>911</v>
      </c>
      <c r="E104" s="16" t="s">
        <v>912</v>
      </c>
      <c r="F104" t="s">
        <v>748</v>
      </c>
    </row>
    <row r="105" spans="1:6">
      <c r="A105" t="s">
        <v>913</v>
      </c>
      <c r="B105" t="str">
        <f>Table6[[#This Row],[Cypher]]</f>
        <v>(0)-[]-&gt;(0)</v>
      </c>
      <c r="F105" t="s">
        <v>748</v>
      </c>
    </row>
    <row r="106" spans="1:6">
      <c r="A106" t="s">
        <v>914</v>
      </c>
      <c r="B106" t="str">
        <f>Table6[[#This Row],[Cypher]]</f>
        <v>(0)-[]-&gt;(0)</v>
      </c>
      <c r="F106" t="s">
        <v>748</v>
      </c>
    </row>
    <row r="108" spans="1:6">
      <c r="A108" s="32" t="s">
        <v>915</v>
      </c>
      <c r="B108" s="32"/>
      <c r="C108" s="32"/>
      <c r="D108" s="32"/>
      <c r="E108" s="32"/>
      <c r="F108" s="32"/>
    </row>
    <row r="109" spans="1:6">
      <c r="A109" t="s">
        <v>916</v>
      </c>
      <c r="B109" t="s">
        <v>917</v>
      </c>
      <c r="C109" t="s">
        <v>918</v>
      </c>
      <c r="D109" t="s">
        <v>919</v>
      </c>
      <c r="E109" s="16" t="s">
        <v>111</v>
      </c>
    </row>
    <row r="110" spans="1:6">
      <c r="A110" t="s">
        <v>920</v>
      </c>
      <c r="E110" s="16" t="s">
        <v>748</v>
      </c>
    </row>
    <row r="111" spans="1:6">
      <c r="A111" t="s">
        <v>921</v>
      </c>
      <c r="B111" t="s">
        <v>922</v>
      </c>
      <c r="C111" t="str">
        <f>Table2[[#This Row],[Missed Triple]]</f>
        <v>(GaroCommunity)-[ADOPTS]-&gt;(NewWayOfLife)</v>
      </c>
      <c r="E111" s="16" t="s">
        <v>748</v>
      </c>
    </row>
    <row r="112" spans="1:6">
      <c r="A112" t="s">
        <v>923</v>
      </c>
      <c r="E112" s="16" t="s">
        <v>748</v>
      </c>
    </row>
    <row r="113" spans="1:5" ht="16.899999999999999">
      <c r="A113" t="s">
        <v>924</v>
      </c>
      <c r="B113" s="17" t="s">
        <v>925</v>
      </c>
      <c r="C113" t="str">
        <f>Table2[[#This Row],[Missed Triple]]</f>
        <v>(GaroPeople)-[FACES]-&gt;(SanitationProblems)</v>
      </c>
      <c r="E113" s="16" t="s">
        <v>748</v>
      </c>
    </row>
    <row r="114" spans="1:5" ht="16.899999999999999">
      <c r="A114" t="s">
        <v>926</v>
      </c>
      <c r="B114" s="17" t="s">
        <v>927</v>
      </c>
      <c r="C114" t="str">
        <f>Table2[[#This Row],[Missed Triple]]</f>
        <v>(GaroPeople)-[FACES]-&gt;(CommunicationProblems)</v>
      </c>
      <c r="E114" s="16" t="s">
        <v>748</v>
      </c>
    </row>
    <row r="115" spans="1:5">
      <c r="A115" t="s">
        <v>928</v>
      </c>
      <c r="B115" t="s">
        <v>929</v>
      </c>
      <c r="C115" t="str">
        <f>Table2[[#This Row],[Missed Triple]]</f>
        <v>(GaroPeople)-[FACES]-&gt;(ElectricityProblems)</v>
      </c>
      <c r="E115" s="16" t="s">
        <v>748</v>
      </c>
    </row>
    <row r="116" spans="1:5" ht="16.899999999999999">
      <c r="A116" t="s">
        <v>930</v>
      </c>
      <c r="B116" s="17" t="s">
        <v>931</v>
      </c>
      <c r="C116" t="str">
        <f>Table2[[#This Row],[Missed Triple]]</f>
        <v>(GaroPeople)-[FACES]-&gt;(SecurityProblems)</v>
      </c>
      <c r="E116" s="16" t="s">
        <v>748</v>
      </c>
    </row>
    <row r="117" spans="1:5">
      <c r="A117" t="s">
        <v>932</v>
      </c>
      <c r="B117" t="s">
        <v>933</v>
      </c>
      <c r="C117" t="str">
        <f>Table2[[#This Row],[Missed Triple]]</f>
        <v>(GaroPeople)-[CALL_THEMSELVES]-&gt;(Mandi)</v>
      </c>
      <c r="E117" s="16" t="s">
        <v>748</v>
      </c>
    </row>
    <row r="118" spans="1:5">
      <c r="A118" t="s">
        <v>934</v>
      </c>
      <c r="B118" t="s">
        <v>935</v>
      </c>
      <c r="C118" t="str">
        <f>Table2[[#This Row],[Missed Triple]]</f>
        <v>(GaroPeople)-[CALL_THEMSELVES]-&gt;(Achchik)</v>
      </c>
      <c r="E118" s="16" t="s">
        <v>748</v>
      </c>
    </row>
    <row r="119" spans="1:5">
      <c r="A119" t="s">
        <v>936</v>
      </c>
      <c r="B119" t="s">
        <v>937</v>
      </c>
      <c r="C119" t="str">
        <f>Table2[[#This Row],[Missed Triple]]</f>
        <v>(GaroMen)-[DO_NOT_HAVE]-&gt;(Inheritance)</v>
      </c>
      <c r="E119" s="16" t="s">
        <v>748</v>
      </c>
    </row>
    <row r="120" spans="1:5">
      <c r="A120" t="s">
        <v>938</v>
      </c>
      <c r="B120" t="s">
        <v>939</v>
      </c>
      <c r="C120" t="str">
        <f>Table2[[#This Row],[Missed Triple]]</f>
        <v>(GaroCommunity)-[HAS]-&gt;(SeparateEthnicity)</v>
      </c>
      <c r="E120" s="16" t="s">
        <v>748</v>
      </c>
    </row>
    <row r="121" spans="1:5">
      <c r="A121" t="s">
        <v>940</v>
      </c>
      <c r="B121" t="s">
        <v>941</v>
      </c>
      <c r="D121" t="s">
        <v>942</v>
      </c>
      <c r="E121" s="16" t="s">
        <v>748</v>
      </c>
    </row>
    <row r="122" spans="1:5">
      <c r="A122" t="s">
        <v>943</v>
      </c>
      <c r="E122" s="16" t="s">
        <v>748</v>
      </c>
    </row>
    <row r="123" spans="1:5">
      <c r="A123" t="s">
        <v>944</v>
      </c>
      <c r="B123" t="s">
        <v>945</v>
      </c>
      <c r="C123" t="str">
        <f>Table2[[#This Row],[Missed Triple]]</f>
        <v>(NGOs)-[CONTRIBUTE_TO]-&gt;(RuralDevelopment)</v>
      </c>
      <c r="E123" s="16" t="s">
        <v>748</v>
      </c>
    </row>
    <row r="124" spans="1:5">
      <c r="A124" t="s">
        <v>946</v>
      </c>
      <c r="B124" t="s">
        <v>947</v>
      </c>
      <c r="C124" t="str">
        <f>Table2[[#This Row],[Missed Triple]]</f>
        <v>(NGOs)-[PROMOTE]-&gt;(Education)</v>
      </c>
      <c r="E124" s="16" t="s">
        <v>748</v>
      </c>
    </row>
    <row r="125" spans="1:5">
      <c r="A125" t="s">
        <v>948</v>
      </c>
      <c r="B125" t="s">
        <v>949</v>
      </c>
      <c r="C125" t="str">
        <f>Table2[[#This Row],[Missed Triple]]</f>
        <v>(NGOs)-[PROMOTE]-&gt;(GenderEquality)</v>
      </c>
      <c r="E125" s="16" t="s">
        <v>748</v>
      </c>
    </row>
    <row r="126" spans="1:5">
      <c r="A126" t="s">
        <v>950</v>
      </c>
      <c r="E126" s="16" t="s">
        <v>748</v>
      </c>
    </row>
    <row r="127" spans="1:5">
      <c r="A127" t="s">
        <v>951</v>
      </c>
      <c r="E127" s="16" t="s">
        <v>748</v>
      </c>
    </row>
    <row r="128" spans="1:5">
      <c r="A128" t="s">
        <v>952</v>
      </c>
      <c r="E128" s="16" t="s">
        <v>748</v>
      </c>
    </row>
    <row r="129" spans="1:5">
      <c r="A129" t="s">
        <v>953</v>
      </c>
      <c r="E129" s="16" t="s">
        <v>748</v>
      </c>
    </row>
    <row r="130" spans="1:5">
      <c r="A130" t="s">
        <v>954</v>
      </c>
      <c r="E130" s="16" t="s">
        <v>748</v>
      </c>
    </row>
  </sheetData>
  <mergeCells count="4">
    <mergeCell ref="A1:H1"/>
    <mergeCell ref="A2:H2"/>
    <mergeCell ref="A108:F108"/>
    <mergeCell ref="H3:I3"/>
  </mergeCells>
  <phoneticPr fontId="10" type="noConversion"/>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CBEB3-E8DE-4158-BEC2-A8168E37920B}">
  <dimension ref="A1:E151"/>
  <sheetViews>
    <sheetView workbookViewId="0">
      <selection activeCell="G7" sqref="G7"/>
    </sheetView>
  </sheetViews>
  <sheetFormatPr defaultRowHeight="14.25"/>
  <cols>
    <col min="1" max="1" width="5.1328125" bestFit="1" customWidth="1"/>
    <col min="2" max="2" width="10.265625" bestFit="1" customWidth="1"/>
    <col min="3" max="3" width="74.73046875" bestFit="1" customWidth="1"/>
    <col min="4" max="4" width="9.265625" bestFit="1" customWidth="1"/>
    <col min="5" max="5" width="10.73046875" bestFit="1" customWidth="1"/>
  </cols>
  <sheetData>
    <row r="1" spans="1:5">
      <c r="A1" s="32" t="s">
        <v>955</v>
      </c>
      <c r="B1" s="32"/>
      <c r="C1" s="32"/>
      <c r="D1" s="32"/>
      <c r="E1" s="32"/>
    </row>
    <row r="2" spans="1:5" ht="43.9" customHeight="1">
      <c r="A2" s="40" t="s">
        <v>956</v>
      </c>
      <c r="B2" s="40"/>
      <c r="C2" s="40"/>
      <c r="D2" s="40"/>
      <c r="E2" s="40"/>
    </row>
    <row r="3" spans="1:5">
      <c r="A3" s="18" t="s">
        <v>740</v>
      </c>
      <c r="B3" s="18" t="s">
        <v>73</v>
      </c>
      <c r="C3" s="18" t="s">
        <v>957</v>
      </c>
      <c r="D3" s="18" t="s">
        <v>919</v>
      </c>
      <c r="E3" s="18" t="s">
        <v>643</v>
      </c>
    </row>
    <row r="4" spans="1:5" ht="46.5">
      <c r="A4" s="24" t="s">
        <v>745</v>
      </c>
      <c r="B4" s="24" t="s">
        <v>77</v>
      </c>
      <c r="C4" s="20" t="s">
        <v>958</v>
      </c>
      <c r="D4" s="26" t="s">
        <v>747</v>
      </c>
      <c r="E4" s="21" t="s">
        <v>645</v>
      </c>
    </row>
    <row r="5" spans="1:5">
      <c r="A5" s="25" t="s">
        <v>749</v>
      </c>
      <c r="B5" s="25" t="s">
        <v>81</v>
      </c>
      <c r="C5" s="19" t="s">
        <v>750</v>
      </c>
      <c r="D5" s="27"/>
      <c r="E5" s="21" t="s">
        <v>645</v>
      </c>
    </row>
    <row r="6" spans="1:5">
      <c r="A6" s="24" t="s">
        <v>751</v>
      </c>
      <c r="B6" s="24" t="s">
        <v>84</v>
      </c>
      <c r="C6" s="20" t="s">
        <v>959</v>
      </c>
      <c r="D6" s="26"/>
      <c r="E6" s="21" t="s">
        <v>645</v>
      </c>
    </row>
    <row r="7" spans="1:5">
      <c r="A7" s="25" t="s">
        <v>751</v>
      </c>
      <c r="B7" s="25" t="s">
        <v>84</v>
      </c>
      <c r="C7" s="19" t="s">
        <v>960</v>
      </c>
      <c r="D7" s="27"/>
      <c r="E7" s="21" t="s">
        <v>645</v>
      </c>
    </row>
    <row r="8" spans="1:5" ht="34.9">
      <c r="A8" s="24" t="s">
        <v>753</v>
      </c>
      <c r="B8" s="24" t="s">
        <v>87</v>
      </c>
      <c r="C8" s="20" t="s">
        <v>961</v>
      </c>
      <c r="D8" s="26" t="s">
        <v>755</v>
      </c>
      <c r="E8" s="21" t="s">
        <v>645</v>
      </c>
    </row>
    <row r="9" spans="1:5" ht="34.9">
      <c r="A9" s="24" t="s">
        <v>753</v>
      </c>
      <c r="B9" s="24" t="s">
        <v>87</v>
      </c>
      <c r="C9" s="20" t="s">
        <v>754</v>
      </c>
      <c r="D9" s="26" t="s">
        <v>755</v>
      </c>
      <c r="E9" s="21" t="s">
        <v>645</v>
      </c>
    </row>
    <row r="10" spans="1:5" ht="34.9">
      <c r="A10" s="24" t="s">
        <v>756</v>
      </c>
      <c r="B10" s="24" t="s">
        <v>90</v>
      </c>
      <c r="C10" s="20" t="s">
        <v>962</v>
      </c>
      <c r="D10" s="26" t="s">
        <v>755</v>
      </c>
      <c r="E10" s="21"/>
    </row>
    <row r="11" spans="1:5" ht="34.9">
      <c r="A11" s="25" t="s">
        <v>756</v>
      </c>
      <c r="B11" s="25" t="s">
        <v>90</v>
      </c>
      <c r="C11" s="19" t="s">
        <v>757</v>
      </c>
      <c r="D11" s="27" t="s">
        <v>755</v>
      </c>
      <c r="E11" s="21" t="s">
        <v>645</v>
      </c>
    </row>
    <row r="12" spans="1:5">
      <c r="A12" s="24" t="s">
        <v>758</v>
      </c>
      <c r="B12" s="24" t="s">
        <v>93</v>
      </c>
      <c r="C12" s="20" t="s">
        <v>963</v>
      </c>
      <c r="D12" s="26"/>
      <c r="E12" s="21" t="s">
        <v>645</v>
      </c>
    </row>
    <row r="13" spans="1:5">
      <c r="A13" s="25" t="s">
        <v>760</v>
      </c>
      <c r="B13" s="25" t="s">
        <v>97</v>
      </c>
      <c r="C13" s="19" t="s">
        <v>761</v>
      </c>
      <c r="D13" s="27"/>
      <c r="E13" s="21" t="s">
        <v>645</v>
      </c>
    </row>
    <row r="14" spans="1:5">
      <c r="A14" s="24" t="s">
        <v>762</v>
      </c>
      <c r="B14" s="24" t="s">
        <v>100</v>
      </c>
      <c r="C14" s="20" t="s">
        <v>763</v>
      </c>
      <c r="D14" s="26"/>
      <c r="E14" s="21" t="s">
        <v>645</v>
      </c>
    </row>
    <row r="15" spans="1:5">
      <c r="A15" s="25" t="s">
        <v>764</v>
      </c>
      <c r="B15" s="25" t="s">
        <v>103</v>
      </c>
      <c r="C15" s="19" t="s">
        <v>765</v>
      </c>
      <c r="D15" s="27"/>
      <c r="E15" s="21" t="s">
        <v>645</v>
      </c>
    </row>
    <row r="16" spans="1:5" ht="34.9">
      <c r="A16" s="24" t="s">
        <v>766</v>
      </c>
      <c r="B16" s="24" t="s">
        <v>106</v>
      </c>
      <c r="C16" s="20" t="s">
        <v>767</v>
      </c>
      <c r="D16" s="26" t="s">
        <v>755</v>
      </c>
      <c r="E16" s="21" t="s">
        <v>645</v>
      </c>
    </row>
    <row r="17" spans="1:5" ht="23.25">
      <c r="A17" s="25" t="s">
        <v>768</v>
      </c>
      <c r="B17" s="25" t="s">
        <v>108</v>
      </c>
      <c r="C17" s="19" t="s">
        <v>769</v>
      </c>
      <c r="D17" s="27" t="s">
        <v>907</v>
      </c>
      <c r="E17" s="21" t="s">
        <v>645</v>
      </c>
    </row>
    <row r="18" spans="1:5" ht="69.75">
      <c r="A18" s="24" t="s">
        <v>774</v>
      </c>
      <c r="B18" s="24" t="s">
        <v>114</v>
      </c>
      <c r="C18" s="20" t="s">
        <v>964</v>
      </c>
      <c r="D18" s="26" t="s">
        <v>776</v>
      </c>
      <c r="E18" s="22" t="s">
        <v>663</v>
      </c>
    </row>
    <row r="19" spans="1:5">
      <c r="A19" s="25" t="s">
        <v>777</v>
      </c>
      <c r="B19" s="25" t="s">
        <v>116</v>
      </c>
      <c r="C19" s="19" t="s">
        <v>965</v>
      </c>
      <c r="D19" s="27"/>
      <c r="E19" s="23" t="s">
        <v>679</v>
      </c>
    </row>
    <row r="20" spans="1:5">
      <c r="A20" s="24" t="s">
        <v>780</v>
      </c>
      <c r="B20" s="24" t="s">
        <v>122</v>
      </c>
      <c r="C20" s="20" t="s">
        <v>966</v>
      </c>
      <c r="D20" s="26"/>
      <c r="E20" s="21" t="s">
        <v>645</v>
      </c>
    </row>
    <row r="21" spans="1:5" ht="81.400000000000006">
      <c r="A21" s="25" t="s">
        <v>785</v>
      </c>
      <c r="B21" s="25" t="s">
        <v>133</v>
      </c>
      <c r="C21" s="19" t="s">
        <v>786</v>
      </c>
      <c r="D21" s="27" t="s">
        <v>967</v>
      </c>
      <c r="E21" s="21" t="s">
        <v>645</v>
      </c>
    </row>
    <row r="22" spans="1:5">
      <c r="A22" s="24" t="s">
        <v>788</v>
      </c>
      <c r="B22" s="24" t="s">
        <v>136</v>
      </c>
      <c r="C22" s="20" t="s">
        <v>968</v>
      </c>
      <c r="D22" s="26"/>
      <c r="E22" s="21" t="s">
        <v>645</v>
      </c>
    </row>
    <row r="23" spans="1:5">
      <c r="A23" s="25" t="s">
        <v>793</v>
      </c>
      <c r="B23" s="25" t="s">
        <v>141</v>
      </c>
      <c r="C23" s="19" t="s">
        <v>794</v>
      </c>
      <c r="D23" s="27"/>
      <c r="E23" s="22" t="s">
        <v>663</v>
      </c>
    </row>
    <row r="24" spans="1:5">
      <c r="A24" s="24" t="s">
        <v>795</v>
      </c>
      <c r="B24" s="24" t="s">
        <v>143</v>
      </c>
      <c r="C24" s="20" t="s">
        <v>969</v>
      </c>
      <c r="D24" s="26"/>
      <c r="E24" s="21" t="s">
        <v>645</v>
      </c>
    </row>
    <row r="25" spans="1:5">
      <c r="A25" s="25" t="s">
        <v>795</v>
      </c>
      <c r="B25" s="25" t="s">
        <v>143</v>
      </c>
      <c r="C25" s="19" t="s">
        <v>970</v>
      </c>
      <c r="D25" s="27"/>
      <c r="E25" s="21" t="s">
        <v>645</v>
      </c>
    </row>
    <row r="26" spans="1:5">
      <c r="A26" s="24" t="s">
        <v>795</v>
      </c>
      <c r="B26" s="24" t="s">
        <v>143</v>
      </c>
      <c r="C26" s="20" t="s">
        <v>971</v>
      </c>
      <c r="D26" s="26"/>
      <c r="E26" s="21" t="s">
        <v>645</v>
      </c>
    </row>
    <row r="27" spans="1:5">
      <c r="A27" s="25" t="s">
        <v>795</v>
      </c>
      <c r="B27" s="25" t="s">
        <v>143</v>
      </c>
      <c r="C27" s="19" t="s">
        <v>972</v>
      </c>
      <c r="D27" s="27"/>
      <c r="E27" s="21" t="s">
        <v>645</v>
      </c>
    </row>
    <row r="28" spans="1:5">
      <c r="A28" s="24" t="s">
        <v>799</v>
      </c>
      <c r="B28" s="24" t="s">
        <v>149</v>
      </c>
      <c r="C28" s="20" t="s">
        <v>973</v>
      </c>
      <c r="D28" s="26"/>
      <c r="E28" s="21" t="s">
        <v>645</v>
      </c>
    </row>
    <row r="29" spans="1:5">
      <c r="A29" s="25" t="s">
        <v>799</v>
      </c>
      <c r="B29" s="25" t="s">
        <v>149</v>
      </c>
      <c r="C29" s="19" t="s">
        <v>974</v>
      </c>
      <c r="D29" s="27"/>
      <c r="E29" s="21" t="s">
        <v>645</v>
      </c>
    </row>
    <row r="30" spans="1:5">
      <c r="A30" s="24" t="s">
        <v>799</v>
      </c>
      <c r="B30" s="24" t="s">
        <v>149</v>
      </c>
      <c r="C30" s="20" t="s">
        <v>975</v>
      </c>
      <c r="D30" s="26"/>
      <c r="E30" s="21" t="s">
        <v>645</v>
      </c>
    </row>
    <row r="31" spans="1:5">
      <c r="A31" s="25" t="s">
        <v>799</v>
      </c>
      <c r="B31" s="25" t="s">
        <v>149</v>
      </c>
      <c r="C31" s="19" t="s">
        <v>976</v>
      </c>
      <c r="D31" s="27"/>
      <c r="E31" s="21" t="s">
        <v>645</v>
      </c>
    </row>
    <row r="32" spans="1:5">
      <c r="A32" s="24" t="s">
        <v>799</v>
      </c>
      <c r="B32" s="24" t="s">
        <v>149</v>
      </c>
      <c r="C32" s="20" t="s">
        <v>977</v>
      </c>
      <c r="D32" s="26"/>
      <c r="E32" s="21" t="s">
        <v>645</v>
      </c>
    </row>
    <row r="33" spans="1:5">
      <c r="A33" s="25" t="s">
        <v>799</v>
      </c>
      <c r="B33" s="25" t="s">
        <v>149</v>
      </c>
      <c r="C33" s="19" t="s">
        <v>978</v>
      </c>
      <c r="D33" s="27"/>
      <c r="E33" s="21" t="s">
        <v>645</v>
      </c>
    </row>
    <row r="34" spans="1:5">
      <c r="A34" s="24" t="s">
        <v>799</v>
      </c>
      <c r="B34" s="24" t="s">
        <v>149</v>
      </c>
      <c r="C34" s="20" t="s">
        <v>979</v>
      </c>
      <c r="D34" s="26"/>
      <c r="E34" s="21" t="s">
        <v>645</v>
      </c>
    </row>
    <row r="35" spans="1:5">
      <c r="A35" s="25" t="s">
        <v>802</v>
      </c>
      <c r="B35" s="25" t="s">
        <v>153</v>
      </c>
      <c r="C35" s="19" t="s">
        <v>980</v>
      </c>
      <c r="D35" s="27"/>
      <c r="E35" s="21" t="s">
        <v>645</v>
      </c>
    </row>
    <row r="36" spans="1:5" ht="34.9">
      <c r="A36" s="24" t="s">
        <v>806</v>
      </c>
      <c r="B36" s="24" t="s">
        <v>159</v>
      </c>
      <c r="C36" s="20" t="s">
        <v>981</v>
      </c>
      <c r="D36" s="26" t="s">
        <v>808</v>
      </c>
      <c r="E36" s="22" t="s">
        <v>663</v>
      </c>
    </row>
    <row r="37" spans="1:5" ht="34.9">
      <c r="A37" s="25" t="s">
        <v>806</v>
      </c>
      <c r="B37" s="25" t="s">
        <v>159</v>
      </c>
      <c r="C37" s="19" t="s">
        <v>982</v>
      </c>
      <c r="D37" s="27" t="s">
        <v>808</v>
      </c>
      <c r="E37" s="22" t="s">
        <v>663</v>
      </c>
    </row>
    <row r="38" spans="1:5" ht="34.9">
      <c r="A38" s="24" t="s">
        <v>806</v>
      </c>
      <c r="B38" s="24" t="s">
        <v>159</v>
      </c>
      <c r="C38" s="20" t="s">
        <v>983</v>
      </c>
      <c r="D38" s="26" t="s">
        <v>808</v>
      </c>
      <c r="E38" s="22" t="s">
        <v>663</v>
      </c>
    </row>
    <row r="39" spans="1:5" ht="34.9">
      <c r="A39" s="25" t="s">
        <v>806</v>
      </c>
      <c r="B39" s="25" t="s">
        <v>159</v>
      </c>
      <c r="C39" s="19" t="s">
        <v>984</v>
      </c>
      <c r="D39" s="27" t="s">
        <v>808</v>
      </c>
      <c r="E39" s="22" t="s">
        <v>663</v>
      </c>
    </row>
    <row r="40" spans="1:5" ht="34.9">
      <c r="A40" s="24" t="s">
        <v>806</v>
      </c>
      <c r="B40" s="24" t="s">
        <v>159</v>
      </c>
      <c r="C40" s="20" t="s">
        <v>985</v>
      </c>
      <c r="D40" s="26" t="s">
        <v>808</v>
      </c>
      <c r="E40" s="22" t="s">
        <v>663</v>
      </c>
    </row>
    <row r="41" spans="1:5" ht="34.9">
      <c r="A41" s="25" t="s">
        <v>806</v>
      </c>
      <c r="B41" s="25" t="s">
        <v>159</v>
      </c>
      <c r="C41" s="19" t="s">
        <v>986</v>
      </c>
      <c r="D41" s="27" t="s">
        <v>808</v>
      </c>
      <c r="E41" s="22" t="s">
        <v>663</v>
      </c>
    </row>
    <row r="42" spans="1:5">
      <c r="A42" s="24" t="s">
        <v>809</v>
      </c>
      <c r="B42" s="24" t="s">
        <v>161</v>
      </c>
      <c r="C42" s="20" t="s">
        <v>987</v>
      </c>
      <c r="D42" s="26"/>
      <c r="E42" s="21" t="s">
        <v>645</v>
      </c>
    </row>
    <row r="43" spans="1:5">
      <c r="A43" s="25" t="s">
        <v>811</v>
      </c>
      <c r="B43" s="25" t="s">
        <v>165</v>
      </c>
      <c r="C43" s="19" t="s">
        <v>988</v>
      </c>
      <c r="D43" s="27"/>
      <c r="E43" s="22" t="s">
        <v>663</v>
      </c>
    </row>
    <row r="44" spans="1:5">
      <c r="A44" s="24" t="s">
        <v>811</v>
      </c>
      <c r="B44" s="24" t="s">
        <v>165</v>
      </c>
      <c r="C44" s="20" t="s">
        <v>989</v>
      </c>
      <c r="D44" s="26"/>
      <c r="E44" s="22" t="s">
        <v>663</v>
      </c>
    </row>
    <row r="45" spans="1:5">
      <c r="A45" s="25" t="s">
        <v>813</v>
      </c>
      <c r="B45" s="25" t="s">
        <v>167</v>
      </c>
      <c r="C45" s="19" t="s">
        <v>814</v>
      </c>
      <c r="D45" s="27"/>
      <c r="E45" s="23" t="s">
        <v>679</v>
      </c>
    </row>
    <row r="46" spans="1:5" ht="34.9">
      <c r="A46" s="24" t="s">
        <v>815</v>
      </c>
      <c r="B46" s="24" t="s">
        <v>169</v>
      </c>
      <c r="C46" s="20" t="s">
        <v>990</v>
      </c>
      <c r="D46" s="26" t="s">
        <v>991</v>
      </c>
      <c r="E46" s="21" t="s">
        <v>645</v>
      </c>
    </row>
    <row r="47" spans="1:5" ht="34.9">
      <c r="A47" s="25" t="s">
        <v>815</v>
      </c>
      <c r="B47" s="25" t="s">
        <v>169</v>
      </c>
      <c r="C47" s="19" t="s">
        <v>992</v>
      </c>
      <c r="D47" s="26" t="s">
        <v>993</v>
      </c>
      <c r="E47" s="21" t="s">
        <v>645</v>
      </c>
    </row>
    <row r="48" spans="1:5" ht="34.9">
      <c r="A48" s="24" t="s">
        <v>815</v>
      </c>
      <c r="B48" s="24" t="s">
        <v>169</v>
      </c>
      <c r="C48" s="20" t="s">
        <v>994</v>
      </c>
      <c r="D48" s="26" t="s">
        <v>995</v>
      </c>
      <c r="E48" s="21" t="s">
        <v>645</v>
      </c>
    </row>
    <row r="49" spans="1:5" ht="34.9">
      <c r="A49" s="25" t="s">
        <v>815</v>
      </c>
      <c r="B49" s="25" t="s">
        <v>169</v>
      </c>
      <c r="C49" s="19" t="s">
        <v>996</v>
      </c>
      <c r="D49" s="26" t="s">
        <v>997</v>
      </c>
      <c r="E49" s="21" t="s">
        <v>645</v>
      </c>
    </row>
    <row r="50" spans="1:5" ht="34.9">
      <c r="A50" s="24" t="s">
        <v>815</v>
      </c>
      <c r="B50" s="24" t="s">
        <v>169</v>
      </c>
      <c r="C50" s="20" t="s">
        <v>998</v>
      </c>
      <c r="D50" s="26" t="s">
        <v>999</v>
      </c>
      <c r="E50" s="21" t="s">
        <v>645</v>
      </c>
    </row>
    <row r="51" spans="1:5">
      <c r="A51" s="25" t="s">
        <v>821</v>
      </c>
      <c r="B51" s="25" t="s">
        <v>175</v>
      </c>
      <c r="C51" s="19" t="s">
        <v>822</v>
      </c>
      <c r="D51" s="27"/>
      <c r="E51" s="23" t="s">
        <v>679</v>
      </c>
    </row>
    <row r="52" spans="1:5">
      <c r="A52" s="24" t="s">
        <v>823</v>
      </c>
      <c r="B52" s="24" t="s">
        <v>177</v>
      </c>
      <c r="C52" s="20" t="s">
        <v>1000</v>
      </c>
      <c r="D52" s="26"/>
      <c r="E52" s="22" t="s">
        <v>663</v>
      </c>
    </row>
    <row r="53" spans="1:5" ht="69.75">
      <c r="A53" s="25" t="s">
        <v>824</v>
      </c>
      <c r="B53" s="25" t="s">
        <v>180</v>
      </c>
      <c r="C53" s="19" t="s">
        <v>1001</v>
      </c>
      <c r="D53" s="27" t="s">
        <v>825</v>
      </c>
      <c r="E53" s="21" t="s">
        <v>645</v>
      </c>
    </row>
    <row r="54" spans="1:5" ht="69.75">
      <c r="A54" s="24" t="s">
        <v>824</v>
      </c>
      <c r="B54" s="24" t="s">
        <v>180</v>
      </c>
      <c r="C54" s="20" t="s">
        <v>1002</v>
      </c>
      <c r="D54" s="26" t="s">
        <v>825</v>
      </c>
      <c r="E54" s="21" t="s">
        <v>645</v>
      </c>
    </row>
    <row r="55" spans="1:5" ht="69.75">
      <c r="A55" s="25" t="s">
        <v>824</v>
      </c>
      <c r="B55" s="25" t="s">
        <v>180</v>
      </c>
      <c r="C55" s="19" t="s">
        <v>1003</v>
      </c>
      <c r="D55" s="27" t="s">
        <v>825</v>
      </c>
      <c r="E55" s="21" t="s">
        <v>645</v>
      </c>
    </row>
    <row r="56" spans="1:5" ht="69.75">
      <c r="A56" s="24" t="s">
        <v>824</v>
      </c>
      <c r="B56" s="24" t="s">
        <v>180</v>
      </c>
      <c r="C56" s="20" t="s">
        <v>1004</v>
      </c>
      <c r="D56" s="26" t="s">
        <v>825</v>
      </c>
      <c r="E56" s="21" t="s">
        <v>645</v>
      </c>
    </row>
    <row r="57" spans="1:5" ht="69.75">
      <c r="A57" s="25" t="s">
        <v>826</v>
      </c>
      <c r="B57" s="25" t="s">
        <v>182</v>
      </c>
      <c r="C57" s="19" t="s">
        <v>1005</v>
      </c>
      <c r="D57" s="27" t="s">
        <v>829</v>
      </c>
      <c r="E57" s="22" t="s">
        <v>663</v>
      </c>
    </row>
    <row r="58" spans="1:5" ht="69.75">
      <c r="A58" s="24" t="s">
        <v>826</v>
      </c>
      <c r="B58" s="24" t="s">
        <v>182</v>
      </c>
      <c r="C58" s="20" t="s">
        <v>1006</v>
      </c>
      <c r="D58" s="26" t="s">
        <v>829</v>
      </c>
      <c r="E58" s="22" t="s">
        <v>663</v>
      </c>
    </row>
    <row r="59" spans="1:5" ht="69.75">
      <c r="A59" s="25" t="s">
        <v>826</v>
      </c>
      <c r="B59" s="25" t="s">
        <v>182</v>
      </c>
      <c r="C59" s="19" t="s">
        <v>827</v>
      </c>
      <c r="D59" s="27" t="s">
        <v>829</v>
      </c>
      <c r="E59" s="22" t="s">
        <v>663</v>
      </c>
    </row>
    <row r="60" spans="1:5">
      <c r="A60" s="24" t="s">
        <v>831</v>
      </c>
      <c r="B60" s="24" t="s">
        <v>188</v>
      </c>
      <c r="C60" s="20" t="s">
        <v>1007</v>
      </c>
      <c r="D60" s="26"/>
      <c r="E60" s="22" t="s">
        <v>663</v>
      </c>
    </row>
    <row r="61" spans="1:5">
      <c r="A61" s="25" t="s">
        <v>831</v>
      </c>
      <c r="B61" s="25" t="s">
        <v>188</v>
      </c>
      <c r="C61" s="19" t="s">
        <v>1008</v>
      </c>
      <c r="D61" s="27"/>
      <c r="E61" s="22" t="s">
        <v>663</v>
      </c>
    </row>
    <row r="62" spans="1:5">
      <c r="A62" s="24" t="s">
        <v>831</v>
      </c>
      <c r="B62" s="24" t="s">
        <v>188</v>
      </c>
      <c r="C62" s="20" t="s">
        <v>1009</v>
      </c>
      <c r="D62" s="26"/>
      <c r="E62" s="22" t="s">
        <v>663</v>
      </c>
    </row>
    <row r="63" spans="1:5">
      <c r="A63" s="25" t="s">
        <v>831</v>
      </c>
      <c r="B63" s="25" t="s">
        <v>188</v>
      </c>
      <c r="C63" s="19" t="s">
        <v>1010</v>
      </c>
      <c r="D63" s="27"/>
      <c r="E63" s="22" t="s">
        <v>663</v>
      </c>
    </row>
    <row r="64" spans="1:5">
      <c r="A64" s="24" t="s">
        <v>831</v>
      </c>
      <c r="B64" s="24" t="s">
        <v>188</v>
      </c>
      <c r="C64" s="20" t="s">
        <v>1011</v>
      </c>
      <c r="D64" s="26"/>
      <c r="E64" s="28" t="s">
        <v>679</v>
      </c>
    </row>
    <row r="65" spans="1:5">
      <c r="A65" s="25" t="s">
        <v>832</v>
      </c>
      <c r="B65" s="25" t="s">
        <v>190</v>
      </c>
      <c r="C65" s="19" t="s">
        <v>1012</v>
      </c>
      <c r="D65" s="27"/>
      <c r="E65" s="21" t="s">
        <v>645</v>
      </c>
    </row>
    <row r="66" spans="1:5" ht="58.15">
      <c r="A66" s="24" t="s">
        <v>834</v>
      </c>
      <c r="B66" s="24" t="s">
        <v>194</v>
      </c>
      <c r="C66" s="20" t="s">
        <v>1013</v>
      </c>
      <c r="D66" s="26" t="s">
        <v>836</v>
      </c>
      <c r="E66" s="21" t="s">
        <v>645</v>
      </c>
    </row>
    <row r="67" spans="1:5" ht="58.15">
      <c r="A67" s="25" t="s">
        <v>834</v>
      </c>
      <c r="B67" s="25" t="s">
        <v>194</v>
      </c>
      <c r="C67" s="19" t="s">
        <v>1014</v>
      </c>
      <c r="D67" s="27" t="s">
        <v>836</v>
      </c>
      <c r="E67" s="21" t="s">
        <v>645</v>
      </c>
    </row>
    <row r="68" spans="1:5" ht="58.15">
      <c r="A68" s="24" t="s">
        <v>834</v>
      </c>
      <c r="B68" s="24" t="s">
        <v>194</v>
      </c>
      <c r="C68" s="20" t="s">
        <v>1015</v>
      </c>
      <c r="D68" s="26" t="s">
        <v>836</v>
      </c>
      <c r="E68" s="21" t="s">
        <v>645</v>
      </c>
    </row>
    <row r="69" spans="1:5" ht="58.15">
      <c r="A69" s="25" t="s">
        <v>834</v>
      </c>
      <c r="B69" s="25" t="s">
        <v>194</v>
      </c>
      <c r="C69" s="19" t="s">
        <v>835</v>
      </c>
      <c r="D69" s="27" t="s">
        <v>836</v>
      </c>
      <c r="E69" s="21" t="s">
        <v>645</v>
      </c>
    </row>
    <row r="70" spans="1:5" ht="58.15">
      <c r="A70" s="24" t="s">
        <v>837</v>
      </c>
      <c r="B70" s="24" t="s">
        <v>196</v>
      </c>
      <c r="C70" s="20" t="s">
        <v>1016</v>
      </c>
      <c r="D70" s="26" t="s">
        <v>836</v>
      </c>
      <c r="E70" s="21" t="s">
        <v>645</v>
      </c>
    </row>
    <row r="71" spans="1:5" ht="58.15">
      <c r="A71" s="25" t="s">
        <v>837</v>
      </c>
      <c r="B71" s="25" t="s">
        <v>196</v>
      </c>
      <c r="C71" s="19" t="s">
        <v>838</v>
      </c>
      <c r="D71" s="27" t="s">
        <v>836</v>
      </c>
      <c r="E71" s="21" t="s">
        <v>645</v>
      </c>
    </row>
    <row r="72" spans="1:5">
      <c r="A72" s="24" t="s">
        <v>841</v>
      </c>
      <c r="B72" s="24" t="s">
        <v>200</v>
      </c>
      <c r="C72" s="20" t="s">
        <v>1017</v>
      </c>
      <c r="D72" s="26"/>
      <c r="E72" s="21" t="s">
        <v>645</v>
      </c>
    </row>
    <row r="73" spans="1:5" ht="58.15">
      <c r="A73" s="25" t="s">
        <v>842</v>
      </c>
      <c r="B73" s="25" t="s">
        <v>204</v>
      </c>
      <c r="C73" s="19" t="s">
        <v>1018</v>
      </c>
      <c r="D73" s="27" t="s">
        <v>1019</v>
      </c>
      <c r="E73" s="29" t="s">
        <v>663</v>
      </c>
    </row>
    <row r="74" spans="1:5">
      <c r="A74" s="24" t="s">
        <v>843</v>
      </c>
      <c r="B74" s="24" t="s">
        <v>206</v>
      </c>
      <c r="C74" s="20" t="s">
        <v>1020</v>
      </c>
      <c r="D74" s="26"/>
      <c r="E74" s="21" t="s">
        <v>645</v>
      </c>
    </row>
    <row r="75" spans="1:5">
      <c r="A75" s="25" t="s">
        <v>843</v>
      </c>
      <c r="B75" s="25" t="s">
        <v>206</v>
      </c>
      <c r="C75" s="19" t="s">
        <v>1021</v>
      </c>
      <c r="D75" s="27"/>
      <c r="E75" s="21" t="s">
        <v>645</v>
      </c>
    </row>
    <row r="76" spans="1:5">
      <c r="A76" s="24" t="s">
        <v>846</v>
      </c>
      <c r="B76" s="24" t="s">
        <v>208</v>
      </c>
      <c r="C76" s="20" t="s">
        <v>1022</v>
      </c>
      <c r="D76" s="26"/>
      <c r="E76" s="21" t="s">
        <v>645</v>
      </c>
    </row>
    <row r="77" spans="1:5">
      <c r="A77" s="25" t="s">
        <v>847</v>
      </c>
      <c r="B77" s="25" t="s">
        <v>210</v>
      </c>
      <c r="C77" s="19" t="s">
        <v>1023</v>
      </c>
      <c r="D77" s="27"/>
      <c r="E77" s="21" t="s">
        <v>645</v>
      </c>
    </row>
    <row r="78" spans="1:5">
      <c r="A78" s="24" t="s">
        <v>848</v>
      </c>
      <c r="B78" s="24" t="s">
        <v>212</v>
      </c>
      <c r="C78" s="20" t="s">
        <v>1024</v>
      </c>
      <c r="D78" s="26"/>
      <c r="E78" s="21" t="s">
        <v>645</v>
      </c>
    </row>
    <row r="79" spans="1:5">
      <c r="A79" s="25" t="s">
        <v>848</v>
      </c>
      <c r="B79" s="25" t="s">
        <v>212</v>
      </c>
      <c r="C79" s="19" t="s">
        <v>1025</v>
      </c>
      <c r="D79" s="27"/>
      <c r="E79" s="21" t="s">
        <v>645</v>
      </c>
    </row>
    <row r="80" spans="1:5">
      <c r="A80" s="24" t="s">
        <v>849</v>
      </c>
      <c r="B80" s="24" t="s">
        <v>214</v>
      </c>
      <c r="C80" s="20" t="s">
        <v>1026</v>
      </c>
      <c r="D80" s="26"/>
      <c r="E80" s="21" t="s">
        <v>645</v>
      </c>
    </row>
    <row r="81" spans="1:5">
      <c r="A81" s="25" t="s">
        <v>852</v>
      </c>
      <c r="B81" s="25" t="s">
        <v>220</v>
      </c>
      <c r="C81" s="19" t="s">
        <v>1027</v>
      </c>
      <c r="D81" s="27"/>
      <c r="E81" s="21" t="s">
        <v>645</v>
      </c>
    </row>
    <row r="82" spans="1:5">
      <c r="A82" s="24" t="s">
        <v>853</v>
      </c>
      <c r="B82" s="24" t="s">
        <v>222</v>
      </c>
      <c r="C82" s="20" t="s">
        <v>1028</v>
      </c>
      <c r="D82" s="26"/>
      <c r="E82" s="21" t="s">
        <v>645</v>
      </c>
    </row>
    <row r="83" spans="1:5">
      <c r="A83" s="25" t="s">
        <v>853</v>
      </c>
      <c r="B83" s="25" t="s">
        <v>222</v>
      </c>
      <c r="C83" s="19" t="s">
        <v>1029</v>
      </c>
      <c r="D83" s="27"/>
      <c r="E83" s="21" t="s">
        <v>645</v>
      </c>
    </row>
    <row r="84" spans="1:5">
      <c r="A84" s="24" t="s">
        <v>855</v>
      </c>
      <c r="B84" s="24" t="s">
        <v>224</v>
      </c>
      <c r="C84" s="20" t="s">
        <v>1030</v>
      </c>
      <c r="D84" s="26"/>
      <c r="E84" s="21" t="s">
        <v>645</v>
      </c>
    </row>
    <row r="85" spans="1:5">
      <c r="A85" s="25" t="s">
        <v>857</v>
      </c>
      <c r="B85" s="25" t="s">
        <v>228</v>
      </c>
      <c r="C85" s="19" t="s">
        <v>1031</v>
      </c>
      <c r="D85" s="27"/>
      <c r="E85" s="22" t="s">
        <v>663</v>
      </c>
    </row>
    <row r="86" spans="1:5">
      <c r="A86" s="24" t="s">
        <v>858</v>
      </c>
      <c r="B86" s="24" t="s">
        <v>230</v>
      </c>
      <c r="C86" s="20" t="s">
        <v>1032</v>
      </c>
      <c r="D86" s="26"/>
      <c r="E86" s="21" t="s">
        <v>645</v>
      </c>
    </row>
    <row r="87" spans="1:5">
      <c r="A87" s="25" t="s">
        <v>862</v>
      </c>
      <c r="B87" s="25" t="s">
        <v>234</v>
      </c>
      <c r="C87" s="19" t="s">
        <v>863</v>
      </c>
      <c r="D87" s="27"/>
      <c r="E87" s="23" t="s">
        <v>679</v>
      </c>
    </row>
    <row r="88" spans="1:5">
      <c r="A88" s="24" t="s">
        <v>864</v>
      </c>
      <c r="B88" s="24" t="s">
        <v>236</v>
      </c>
      <c r="C88" s="20" t="s">
        <v>1033</v>
      </c>
      <c r="D88" s="26"/>
      <c r="E88" s="21" t="s">
        <v>645</v>
      </c>
    </row>
    <row r="89" spans="1:5">
      <c r="A89" s="25" t="s">
        <v>866</v>
      </c>
      <c r="B89" s="25" t="s">
        <v>240</v>
      </c>
      <c r="C89" s="19" t="s">
        <v>1034</v>
      </c>
      <c r="D89" s="27"/>
      <c r="E89" s="21" t="s">
        <v>645</v>
      </c>
    </row>
    <row r="90" spans="1:5">
      <c r="A90" s="24" t="s">
        <v>866</v>
      </c>
      <c r="B90" s="24" t="s">
        <v>240</v>
      </c>
      <c r="C90" s="20" t="s">
        <v>1035</v>
      </c>
      <c r="D90" s="26"/>
      <c r="E90" s="21" t="s">
        <v>645</v>
      </c>
    </row>
    <row r="91" spans="1:5">
      <c r="A91" s="25" t="s">
        <v>867</v>
      </c>
      <c r="B91" s="25" t="s">
        <v>242</v>
      </c>
      <c r="C91" s="19" t="s">
        <v>1036</v>
      </c>
      <c r="D91" s="27"/>
      <c r="E91" s="21" t="s">
        <v>645</v>
      </c>
    </row>
    <row r="92" spans="1:5">
      <c r="A92" s="24" t="s">
        <v>867</v>
      </c>
      <c r="B92" s="24" t="s">
        <v>242</v>
      </c>
      <c r="C92" s="20" t="s">
        <v>1037</v>
      </c>
      <c r="D92" s="26"/>
      <c r="E92" s="21" t="s">
        <v>645</v>
      </c>
    </row>
    <row r="93" spans="1:5">
      <c r="A93" s="25" t="s">
        <v>867</v>
      </c>
      <c r="B93" s="25" t="s">
        <v>242</v>
      </c>
      <c r="C93" s="19" t="s">
        <v>1038</v>
      </c>
      <c r="D93" s="27"/>
      <c r="E93" s="21" t="s">
        <v>645</v>
      </c>
    </row>
    <row r="94" spans="1:5">
      <c r="A94" s="24" t="s">
        <v>867</v>
      </c>
      <c r="B94" s="24" t="s">
        <v>242</v>
      </c>
      <c r="C94" s="20" t="s">
        <v>1039</v>
      </c>
      <c r="D94" s="26"/>
      <c r="E94" s="21" t="s">
        <v>645</v>
      </c>
    </row>
    <row r="95" spans="1:5">
      <c r="A95" s="25" t="s">
        <v>867</v>
      </c>
      <c r="B95" s="25" t="s">
        <v>242</v>
      </c>
      <c r="C95" s="19" t="s">
        <v>1040</v>
      </c>
      <c r="D95" s="27"/>
      <c r="E95" s="21" t="s">
        <v>645</v>
      </c>
    </row>
    <row r="96" spans="1:5">
      <c r="A96" s="24" t="s">
        <v>868</v>
      </c>
      <c r="B96" s="24" t="s">
        <v>244</v>
      </c>
      <c r="C96" s="20" t="s">
        <v>1041</v>
      </c>
      <c r="D96" s="26"/>
      <c r="E96" s="21" t="s">
        <v>645</v>
      </c>
    </row>
    <row r="97" spans="1:5">
      <c r="A97" s="25" t="s">
        <v>869</v>
      </c>
      <c r="B97" s="25" t="s">
        <v>246</v>
      </c>
      <c r="C97" s="19" t="s">
        <v>1042</v>
      </c>
      <c r="D97" s="27"/>
      <c r="E97" s="21" t="s">
        <v>645</v>
      </c>
    </row>
    <row r="98" spans="1:5">
      <c r="A98" s="24" t="s">
        <v>872</v>
      </c>
      <c r="B98" s="24" t="s">
        <v>248</v>
      </c>
      <c r="C98" s="20" t="s">
        <v>1043</v>
      </c>
      <c r="D98" s="26"/>
      <c r="E98" s="21" t="s">
        <v>645</v>
      </c>
    </row>
    <row r="99" spans="1:5">
      <c r="A99" s="25" t="s">
        <v>872</v>
      </c>
      <c r="B99" s="25" t="s">
        <v>248</v>
      </c>
      <c r="C99" s="19" t="s">
        <v>1044</v>
      </c>
      <c r="D99" s="27"/>
      <c r="E99" s="21" t="s">
        <v>645</v>
      </c>
    </row>
    <row r="100" spans="1:5">
      <c r="A100" s="24" t="s">
        <v>873</v>
      </c>
      <c r="B100" s="24" t="s">
        <v>250</v>
      </c>
      <c r="C100" s="20" t="s">
        <v>1045</v>
      </c>
      <c r="D100" s="26"/>
      <c r="E100" s="21" t="s">
        <v>645</v>
      </c>
    </row>
    <row r="101" spans="1:5">
      <c r="A101" s="25" t="s">
        <v>874</v>
      </c>
      <c r="B101" s="25" t="s">
        <v>252</v>
      </c>
      <c r="C101" s="19" t="s">
        <v>1046</v>
      </c>
      <c r="D101" s="27"/>
      <c r="E101" s="21" t="s">
        <v>645</v>
      </c>
    </row>
    <row r="102" spans="1:5">
      <c r="A102" s="24" t="s">
        <v>874</v>
      </c>
      <c r="B102" s="24" t="s">
        <v>252</v>
      </c>
      <c r="C102" s="20" t="s">
        <v>1047</v>
      </c>
      <c r="D102" s="26"/>
      <c r="E102" s="21" t="s">
        <v>645</v>
      </c>
    </row>
    <row r="103" spans="1:5">
      <c r="A103" s="25" t="s">
        <v>875</v>
      </c>
      <c r="B103" s="25" t="s">
        <v>254</v>
      </c>
      <c r="C103" s="19" t="s">
        <v>1048</v>
      </c>
      <c r="D103" s="27"/>
      <c r="E103" s="21" t="s">
        <v>645</v>
      </c>
    </row>
    <row r="104" spans="1:5">
      <c r="A104" s="24" t="s">
        <v>876</v>
      </c>
      <c r="B104" s="24" t="s">
        <v>256</v>
      </c>
      <c r="C104" s="20" t="s">
        <v>1049</v>
      </c>
      <c r="D104" s="26"/>
      <c r="E104" s="21" t="s">
        <v>645</v>
      </c>
    </row>
    <row r="105" spans="1:5">
      <c r="A105" s="25" t="s">
        <v>876</v>
      </c>
      <c r="B105" s="25" t="s">
        <v>256</v>
      </c>
      <c r="C105" s="19" t="s">
        <v>1050</v>
      </c>
      <c r="D105" s="27"/>
      <c r="E105" s="21" t="s">
        <v>645</v>
      </c>
    </row>
    <row r="106" spans="1:5">
      <c r="A106" s="24" t="s">
        <v>877</v>
      </c>
      <c r="B106" s="24" t="s">
        <v>258</v>
      </c>
      <c r="C106" s="20" t="s">
        <v>1051</v>
      </c>
      <c r="D106" s="26"/>
      <c r="E106" s="21" t="s">
        <v>645</v>
      </c>
    </row>
    <row r="107" spans="1:5">
      <c r="A107" s="25" t="s">
        <v>877</v>
      </c>
      <c r="B107" s="25" t="s">
        <v>258</v>
      </c>
      <c r="C107" s="19" t="s">
        <v>1052</v>
      </c>
      <c r="D107" s="27"/>
      <c r="E107" s="21" t="s">
        <v>645</v>
      </c>
    </row>
    <row r="108" spans="1:5">
      <c r="A108" s="24" t="s">
        <v>877</v>
      </c>
      <c r="B108" s="24" t="s">
        <v>258</v>
      </c>
      <c r="C108" s="20" t="s">
        <v>1053</v>
      </c>
      <c r="D108" s="26"/>
      <c r="E108" s="21" t="s">
        <v>645</v>
      </c>
    </row>
    <row r="109" spans="1:5">
      <c r="A109" s="25" t="s">
        <v>877</v>
      </c>
      <c r="B109" s="25" t="s">
        <v>258</v>
      </c>
      <c r="C109" s="19" t="s">
        <v>1054</v>
      </c>
      <c r="D109" s="27"/>
      <c r="E109" s="21" t="s">
        <v>645</v>
      </c>
    </row>
    <row r="110" spans="1:5">
      <c r="A110" s="24" t="s">
        <v>878</v>
      </c>
      <c r="B110" s="24" t="s">
        <v>260</v>
      </c>
      <c r="C110" s="20" t="s">
        <v>1055</v>
      </c>
      <c r="D110" s="26"/>
      <c r="E110" s="22" t="s">
        <v>663</v>
      </c>
    </row>
    <row r="111" spans="1:5">
      <c r="A111" s="25" t="s">
        <v>878</v>
      </c>
      <c r="B111" s="25" t="s">
        <v>260</v>
      </c>
      <c r="C111" s="19" t="s">
        <v>1056</v>
      </c>
      <c r="D111" s="27"/>
      <c r="E111" s="22" t="s">
        <v>663</v>
      </c>
    </row>
    <row r="112" spans="1:5">
      <c r="A112" s="24" t="s">
        <v>879</v>
      </c>
      <c r="B112" s="24" t="s">
        <v>262</v>
      </c>
      <c r="C112" s="20" t="s">
        <v>1057</v>
      </c>
      <c r="D112" s="26"/>
      <c r="E112" s="21" t="s">
        <v>645</v>
      </c>
    </row>
    <row r="113" spans="1:5">
      <c r="A113" s="25" t="s">
        <v>879</v>
      </c>
      <c r="B113" s="25" t="s">
        <v>262</v>
      </c>
      <c r="C113" s="19" t="s">
        <v>1058</v>
      </c>
      <c r="D113" s="27"/>
      <c r="E113" s="21" t="s">
        <v>645</v>
      </c>
    </row>
    <row r="114" spans="1:5">
      <c r="A114" s="24" t="s">
        <v>879</v>
      </c>
      <c r="B114" s="24" t="s">
        <v>262</v>
      </c>
      <c r="C114" s="20" t="s">
        <v>1059</v>
      </c>
      <c r="D114" s="26"/>
      <c r="E114" s="21" t="s">
        <v>645</v>
      </c>
    </row>
    <row r="115" spans="1:5">
      <c r="A115" s="25" t="s">
        <v>880</v>
      </c>
      <c r="B115" s="25" t="s">
        <v>264</v>
      </c>
      <c r="C115" s="19" t="s">
        <v>1060</v>
      </c>
      <c r="D115" s="27"/>
      <c r="E115" s="21" t="s">
        <v>645</v>
      </c>
    </row>
    <row r="116" spans="1:5">
      <c r="A116" s="24" t="s">
        <v>880</v>
      </c>
      <c r="B116" s="24" t="s">
        <v>264</v>
      </c>
      <c r="C116" s="20" t="s">
        <v>1061</v>
      </c>
      <c r="D116" s="26"/>
      <c r="E116" s="29" t="s">
        <v>663</v>
      </c>
    </row>
    <row r="117" spans="1:5">
      <c r="A117" s="25" t="s">
        <v>884</v>
      </c>
      <c r="B117" s="25" t="s">
        <v>270</v>
      </c>
      <c r="C117" s="19" t="s">
        <v>1062</v>
      </c>
      <c r="D117" s="27"/>
      <c r="E117" s="21" t="s">
        <v>645</v>
      </c>
    </row>
    <row r="118" spans="1:5">
      <c r="A118" s="24" t="s">
        <v>888</v>
      </c>
      <c r="B118" s="24" t="s">
        <v>278</v>
      </c>
      <c r="C118" s="20" t="s">
        <v>1063</v>
      </c>
      <c r="D118" s="26"/>
      <c r="E118" s="21" t="s">
        <v>645</v>
      </c>
    </row>
    <row r="119" spans="1:5">
      <c r="A119" s="25" t="s">
        <v>888</v>
      </c>
      <c r="B119" s="25" t="s">
        <v>278</v>
      </c>
      <c r="C119" s="19" t="s">
        <v>1064</v>
      </c>
      <c r="D119" s="27"/>
      <c r="E119" s="21" t="s">
        <v>645</v>
      </c>
    </row>
    <row r="120" spans="1:5">
      <c r="A120" s="24" t="s">
        <v>889</v>
      </c>
      <c r="B120" s="24" t="s">
        <v>280</v>
      </c>
      <c r="C120" s="20" t="s">
        <v>1065</v>
      </c>
      <c r="D120" s="26"/>
      <c r="E120" s="21" t="s">
        <v>645</v>
      </c>
    </row>
    <row r="121" spans="1:5">
      <c r="A121" s="25" t="s">
        <v>890</v>
      </c>
      <c r="B121" s="25" t="s">
        <v>282</v>
      </c>
      <c r="C121" s="19" t="s">
        <v>1066</v>
      </c>
      <c r="D121" s="27"/>
      <c r="E121" s="21" t="s">
        <v>645</v>
      </c>
    </row>
    <row r="122" spans="1:5">
      <c r="A122" s="24" t="s">
        <v>890</v>
      </c>
      <c r="B122" s="24" t="s">
        <v>282</v>
      </c>
      <c r="C122" s="20" t="s">
        <v>1067</v>
      </c>
      <c r="D122" s="26"/>
      <c r="E122" s="21" t="s">
        <v>645</v>
      </c>
    </row>
    <row r="123" spans="1:5">
      <c r="A123" s="25" t="s">
        <v>891</v>
      </c>
      <c r="B123" s="25" t="s">
        <v>284</v>
      </c>
      <c r="C123" s="19" t="s">
        <v>892</v>
      </c>
      <c r="D123" s="27"/>
      <c r="E123" s="21" t="s">
        <v>645</v>
      </c>
    </row>
    <row r="124" spans="1:5">
      <c r="A124" s="24" t="s">
        <v>893</v>
      </c>
      <c r="B124" s="24" t="s">
        <v>286</v>
      </c>
      <c r="C124" s="20" t="s">
        <v>1068</v>
      </c>
      <c r="D124" s="26"/>
      <c r="E124" s="21" t="s">
        <v>645</v>
      </c>
    </row>
    <row r="125" spans="1:5">
      <c r="A125" s="25" t="s">
        <v>893</v>
      </c>
      <c r="B125" s="25" t="s">
        <v>286</v>
      </c>
      <c r="C125" s="19" t="s">
        <v>1069</v>
      </c>
      <c r="D125" s="27"/>
      <c r="E125" s="21" t="s">
        <v>645</v>
      </c>
    </row>
    <row r="126" spans="1:5">
      <c r="A126" s="24" t="s">
        <v>894</v>
      </c>
      <c r="B126" s="24" t="s">
        <v>288</v>
      </c>
      <c r="C126" s="20" t="s">
        <v>1070</v>
      </c>
      <c r="D126" s="26"/>
      <c r="E126" s="21" t="s">
        <v>645</v>
      </c>
    </row>
    <row r="127" spans="1:5">
      <c r="A127" s="25" t="s">
        <v>896</v>
      </c>
      <c r="B127" s="25" t="s">
        <v>292</v>
      </c>
      <c r="C127" s="19" t="s">
        <v>1071</v>
      </c>
      <c r="D127" s="27" t="s">
        <v>898</v>
      </c>
      <c r="E127" s="22" t="s">
        <v>663</v>
      </c>
    </row>
    <row r="128" spans="1:5">
      <c r="A128" s="24" t="s">
        <v>896</v>
      </c>
      <c r="B128" s="24" t="s">
        <v>292</v>
      </c>
      <c r="C128" s="20" t="s">
        <v>1072</v>
      </c>
      <c r="D128" s="26" t="s">
        <v>898</v>
      </c>
      <c r="E128" s="22" t="s">
        <v>663</v>
      </c>
    </row>
    <row r="129" spans="1:5">
      <c r="A129" s="25" t="s">
        <v>901</v>
      </c>
      <c r="B129" s="25" t="s">
        <v>298</v>
      </c>
      <c r="C129" s="19" t="s">
        <v>1073</v>
      </c>
      <c r="D129" s="27"/>
      <c r="E129" s="21" t="s">
        <v>645</v>
      </c>
    </row>
    <row r="130" spans="1:5">
      <c r="A130" s="24" t="s">
        <v>902</v>
      </c>
      <c r="B130" s="24" t="s">
        <v>302</v>
      </c>
      <c r="C130" s="20" t="s">
        <v>1074</v>
      </c>
      <c r="D130" s="26"/>
      <c r="E130" s="21" t="s">
        <v>645</v>
      </c>
    </row>
    <row r="131" spans="1:5">
      <c r="A131" s="25" t="s">
        <v>902</v>
      </c>
      <c r="B131" s="25" t="s">
        <v>302</v>
      </c>
      <c r="C131" s="19" t="s">
        <v>1075</v>
      </c>
      <c r="D131" s="27"/>
      <c r="E131" s="21" t="s">
        <v>645</v>
      </c>
    </row>
    <row r="132" spans="1:5">
      <c r="A132" s="24" t="s">
        <v>903</v>
      </c>
      <c r="B132" s="24" t="s">
        <v>304</v>
      </c>
      <c r="C132" s="20" t="s">
        <v>1076</v>
      </c>
      <c r="D132" s="26"/>
      <c r="E132" s="21" t="s">
        <v>645</v>
      </c>
    </row>
    <row r="133" spans="1:5">
      <c r="A133" s="25" t="s">
        <v>903</v>
      </c>
      <c r="B133" s="25" t="s">
        <v>304</v>
      </c>
      <c r="C133" s="19" t="s">
        <v>1077</v>
      </c>
      <c r="D133" s="27"/>
      <c r="E133" s="21" t="s">
        <v>645</v>
      </c>
    </row>
    <row r="134" spans="1:5">
      <c r="A134" s="24" t="s">
        <v>903</v>
      </c>
      <c r="B134" s="24" t="s">
        <v>304</v>
      </c>
      <c r="C134" s="20" t="s">
        <v>1078</v>
      </c>
      <c r="D134" s="26"/>
      <c r="E134" s="21" t="s">
        <v>645</v>
      </c>
    </row>
    <row r="135" spans="1:5">
      <c r="A135" s="25" t="s">
        <v>904</v>
      </c>
      <c r="B135" s="25" t="s">
        <v>306</v>
      </c>
      <c r="C135" s="19" t="s">
        <v>1079</v>
      </c>
      <c r="D135" s="27"/>
      <c r="E135" s="21" t="s">
        <v>645</v>
      </c>
    </row>
    <row r="136" spans="1:5">
      <c r="A136" s="24" t="s">
        <v>904</v>
      </c>
      <c r="B136" s="24" t="s">
        <v>306</v>
      </c>
      <c r="C136" s="20" t="s">
        <v>1080</v>
      </c>
      <c r="D136" s="26"/>
      <c r="E136" s="21" t="s">
        <v>645</v>
      </c>
    </row>
    <row r="137" spans="1:5" ht="23.25">
      <c r="A137" s="25" t="s">
        <v>905</v>
      </c>
      <c r="B137" s="25" t="s">
        <v>308</v>
      </c>
      <c r="C137" s="19" t="s">
        <v>1081</v>
      </c>
      <c r="D137" s="27" t="s">
        <v>907</v>
      </c>
      <c r="E137" s="21" t="s">
        <v>645</v>
      </c>
    </row>
    <row r="138" spans="1:5">
      <c r="A138" s="24" t="s">
        <v>908</v>
      </c>
      <c r="B138" s="24" t="s">
        <v>310</v>
      </c>
      <c r="C138" s="20" t="s">
        <v>1082</v>
      </c>
      <c r="D138" s="26"/>
      <c r="E138" s="22" t="s">
        <v>663</v>
      </c>
    </row>
    <row r="139" spans="1:5" ht="46.5">
      <c r="A139" s="25" t="s">
        <v>910</v>
      </c>
      <c r="B139" s="25" t="s">
        <v>316</v>
      </c>
      <c r="C139" s="19" t="s">
        <v>911</v>
      </c>
      <c r="D139" s="27" t="s">
        <v>912</v>
      </c>
      <c r="E139" s="22" t="s">
        <v>663</v>
      </c>
    </row>
    <row r="140" spans="1:5">
      <c r="A140" s="24" t="s">
        <v>921</v>
      </c>
      <c r="B140" s="24"/>
      <c r="C140" s="20" t="s">
        <v>922</v>
      </c>
      <c r="D140" s="26"/>
      <c r="E140" s="29" t="s">
        <v>663</v>
      </c>
    </row>
    <row r="141" spans="1:5">
      <c r="A141" s="25" t="s">
        <v>924</v>
      </c>
      <c r="B141" s="25"/>
      <c r="C141" s="19" t="s">
        <v>925</v>
      </c>
      <c r="D141" s="27"/>
      <c r="E141" s="30" t="s">
        <v>645</v>
      </c>
    </row>
    <row r="142" spans="1:5">
      <c r="A142" s="24" t="s">
        <v>926</v>
      </c>
      <c r="B142" s="24"/>
      <c r="C142" s="20" t="s">
        <v>927</v>
      </c>
      <c r="D142" s="26"/>
      <c r="E142" s="30" t="s">
        <v>645</v>
      </c>
    </row>
    <row r="143" spans="1:5">
      <c r="A143" s="25" t="s">
        <v>928</v>
      </c>
      <c r="B143" s="25"/>
      <c r="C143" s="19" t="s">
        <v>929</v>
      </c>
      <c r="D143" s="27"/>
      <c r="E143" s="30" t="s">
        <v>645</v>
      </c>
    </row>
    <row r="144" spans="1:5">
      <c r="A144" s="24" t="s">
        <v>930</v>
      </c>
      <c r="B144" s="24"/>
      <c r="C144" s="20" t="s">
        <v>931</v>
      </c>
      <c r="D144" s="26"/>
      <c r="E144" s="30" t="s">
        <v>645</v>
      </c>
    </row>
    <row r="145" spans="1:5">
      <c r="A145" s="25" t="s">
        <v>932</v>
      </c>
      <c r="B145" s="25"/>
      <c r="C145" s="19" t="s">
        <v>933</v>
      </c>
      <c r="D145" s="27"/>
      <c r="E145" s="30" t="s">
        <v>645</v>
      </c>
    </row>
    <row r="146" spans="1:5">
      <c r="A146" s="24" t="s">
        <v>934</v>
      </c>
      <c r="B146" s="24"/>
      <c r="C146" s="20" t="s">
        <v>935</v>
      </c>
      <c r="D146" s="26"/>
      <c r="E146" s="30" t="s">
        <v>645</v>
      </c>
    </row>
    <row r="147" spans="1:5">
      <c r="A147" s="25" t="s">
        <v>936</v>
      </c>
      <c r="B147" s="25"/>
      <c r="C147" s="19" t="s">
        <v>937</v>
      </c>
      <c r="D147" s="27"/>
      <c r="E147" s="30" t="s">
        <v>645</v>
      </c>
    </row>
    <row r="148" spans="1:5">
      <c r="A148" s="24" t="s">
        <v>938</v>
      </c>
      <c r="B148" s="24"/>
      <c r="C148" s="20" t="s">
        <v>939</v>
      </c>
      <c r="D148" s="26"/>
      <c r="E148" s="29" t="s">
        <v>663</v>
      </c>
    </row>
    <row r="149" spans="1:5">
      <c r="A149" s="25" t="s">
        <v>944</v>
      </c>
      <c r="B149" s="25"/>
      <c r="C149" s="19" t="s">
        <v>945</v>
      </c>
      <c r="D149" s="27"/>
      <c r="E149" s="30" t="s">
        <v>645</v>
      </c>
    </row>
    <row r="150" spans="1:5">
      <c r="A150" s="24" t="s">
        <v>946</v>
      </c>
      <c r="B150" s="24"/>
      <c r="C150" s="20" t="s">
        <v>947</v>
      </c>
      <c r="D150" s="26"/>
      <c r="E150" s="30" t="s">
        <v>645</v>
      </c>
    </row>
    <row r="151" spans="1:5">
      <c r="A151" s="25" t="s">
        <v>948</v>
      </c>
      <c r="B151" s="25"/>
      <c r="C151" s="19" t="s">
        <v>949</v>
      </c>
      <c r="D151" s="27"/>
      <c r="E151" s="30" t="s">
        <v>645</v>
      </c>
    </row>
  </sheetData>
  <mergeCells count="2">
    <mergeCell ref="A1:E1"/>
    <mergeCell ref="A2:E2"/>
  </mergeCells>
  <phoneticPr fontId="10" type="noConversion"/>
  <pageMargins left="0.7" right="0.7" top="0.75" bottom="0.75" header="0.3" footer="0.3"/>
</worksheet>
</file>

<file path=docMetadata/LabelInfo.xml><?xml version="1.0" encoding="utf-8"?>
<clbl:labelList xmlns:clbl="http://schemas.microsoft.com/office/2020/mipLabelMetadata">
  <clbl:label id="{df7f7579-3e9c-4a7e-b844-420280f53859}" enabled="0" method="" siteId="{df7f7579-3e9c-4a7e-b844-420280f5385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Paper Details</vt:lpstr>
      <vt:lpstr>Sentence Extraction</vt:lpstr>
      <vt:lpstr>Subject ID</vt:lpstr>
      <vt:lpstr>Fact Extraction</vt:lpstr>
      <vt:lpstr>Relationships</vt:lpstr>
      <vt:lpstr>Cross-Match</vt:lpstr>
      <vt:lpstr>Final Triples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MARCUS ELLUL</cp:lastModifiedBy>
  <cp:revision/>
  <dcterms:created xsi:type="dcterms:W3CDTF">2026-03-30T08:16:19Z</dcterms:created>
  <dcterms:modified xsi:type="dcterms:W3CDTF">2026-05-24T11:39:36Z</dcterms:modified>
  <cp:category/>
  <cp:contentStatus/>
</cp:coreProperties>
</file>